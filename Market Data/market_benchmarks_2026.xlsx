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fe6f471a5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4543f8cb7544df"/>
    <x:sheet xmlns:r="http://schemas.openxmlformats.org/officeDocument/2006/relationships" name="Flip Benchmarks" sheetId="2" r:id="R2291bb8249ff4e82"/>
    <x:sheet xmlns:r="http://schemas.openxmlformats.org/officeDocument/2006/relationships" name="STR Benchmarks" sheetId="3" r:id="R94013055aabd4136"/>
    <x:sheet xmlns:r="http://schemas.openxmlformats.org/officeDocument/2006/relationships" name="LTR Benchmarks" sheetId="4" r:id="Rbd35b9f6f63446d8"/>
    <x:sheet xmlns:r="http://schemas.openxmlformats.org/officeDocument/2006/relationships" name="BRRR Assumptions" sheetId="5" r:id="R8031a5767ac6410f"/>
    <x:sheet xmlns:r="http://schemas.openxmlformats.org/officeDocument/2006/relationships" name="Assumptions" sheetId="6" r:id="R77380c9ba8934171"/>
    <x:sheet xmlns:r="http://schemas.openxmlformats.org/officeDocument/2006/relationships" name="Source Index" sheetId="7" r:id="R5c2d90b2df52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#,##0"/>
  </x:numFmts>
  <x:fonts count="4">
    <x:font>
      <x:sz val="11"/>
      <x:name val="Carlito"/>
    </x:font>
    <x:font>
      <x:b/>
      <x:sz val="15"/>
      <x:color rgb="FFFFFF"/>
      <x:name val="Carlito"/>
    </x:font>
    <x:font>
      <x:i/>
      <x:sz val="11"/>
      <x:color rgb="1E3A8A"/>
      <x:name val="Carlito"/>
    </x:font>
    <x:font>
      <x:b/>
      <x:sz val="11"/>
      <x:color rgb="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72554"/>
      </x:patternFill>
    </x:fill>
    <x:fill>
      <x:patternFill patternType="solid">
        <x:fgColor rgb="1D4ED8"/>
      </x:patternFill>
    </x:fill>
    <x:fill>
      <x:patternFill patternType="solid">
        <x:fgColor rgb="EFF6FF"/>
      </x:patternFill>
    </x:fill>
    <x:fill>
      <x:patternFill patternType="solid">
        <x:fgColor rgb="0F766E"/>
      </x:patternFill>
    </x:fill>
    <x:fill>
      <x:patternFill patternType="solid">
        <x:fgColor rgb="047857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  <x:fill>
      <x:patternFill patternType="solid">
        <x:fgColor rgb="334155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9e4c7971f43ed" /><Relationship Type="http://schemas.openxmlformats.org/officeDocument/2006/relationships/theme" Target="/xl/theme/theme1.xml" Id="R167a2feedd94431c" /><Relationship Type="http://schemas.openxmlformats.org/officeDocument/2006/relationships/sharedStrings" Target="/xl/sharedStrings.xml" Id="R464b690761b04be4" /><Relationship Type="http://schemas.openxmlformats.org/officeDocument/2006/relationships/worksheet" Target="/xl/worksheets/sheet1.xml" Id="Rb74543f8cb7544df" /><Relationship Type="http://schemas.openxmlformats.org/officeDocument/2006/relationships/worksheet" Target="/xl/worksheets/sheet2.xml" Id="R2291bb8249ff4e82" /><Relationship Type="http://schemas.openxmlformats.org/officeDocument/2006/relationships/worksheet" Target="/xl/worksheets/sheet3.xml" Id="R94013055aabd4136" /><Relationship Type="http://schemas.openxmlformats.org/officeDocument/2006/relationships/worksheet" Target="/xl/worksheets/sheet4.xml" Id="Rbd35b9f6f63446d8" /><Relationship Type="http://schemas.openxmlformats.org/officeDocument/2006/relationships/worksheet" Target="/xl/worksheets/sheet5.xml" Id="R8031a5767ac6410f" /><Relationship Type="http://schemas.openxmlformats.org/officeDocument/2006/relationships/worksheet" Target="/xl/worksheets/sheet6.xml" Id="R77380c9ba8934171" /><Relationship Type="http://schemas.openxmlformats.org/officeDocument/2006/relationships/worksheet" Target="/xl/worksheets/sheet7.xml" Id="R5c2d90b2df5245bd" /></Relationships>
</file>

<file path=xl/tables/table1.xml><?xml version="1.0" encoding="utf-8"?>
<x:table xmlns:x="http://schemas.openxmlformats.org/spreadsheetml/2006/main" id="1" name="FlipBenchmarks" displayName="FlipBenchmarks" ref="A4:Y24" headerRowCount="1">
  <x:tableColumns count="25">
    <x:tableColumn id="1" name="Market"/>
    <x:tableColumn id="2" name="Market Role"/>
    <x:tableColumn id="3" name="Median ARV Benchmark"/>
    <x:tableColumn id="4" name="YoY Price Change"/>
    <x:tableColumn id="5" name="Median DOM"/>
    <x:tableColumn id="6" name="Market Speed Signal"/>
    <x:tableColumn id="7" name="ARV Rule Low"/>
    <x:tableColumn id="8" name="ARV Rule High"/>
    <x:tableColumn id="9" name="Hold Low %/Mo"/>
    <x:tableColumn id="10" name="Hold High %/Mo"/>
    <x:tableColumn id="11" name="Monthly Hold Low"/>
    <x:tableColumn id="12" name="Monthly Hold High"/>
    <x:tableColumn id="13" name="6-Mo Hold Low"/>
    <x:tableColumn id="14" name="6-Mo Hold High"/>
    <x:tableColumn id="15" name="Repair Low $/SF"/>
    <x:tableColumn id="16" name="Repair High $/SF"/>
    <x:tableColumn id="17" name="Rehab Scope Note"/>
    <x:tableColumn id="18" name="STR Viability"/>
    <x:tableColumn id="19" name="STR Annual Revenue Low"/>
    <x:tableColumn id="20" name="STR Annual Revenue High"/>
    <x:tableColumn id="21" name="STR Revenue Source URL"/>
    <x:tableColumn id="22" name="STR Confidence"/>
    <x:tableColumn id="23" name="Crossover Notes"/>
    <x:tableColumn id="24" name="Primary Source URL"/>
    <x:tableColumn id="25" name="Method / Source Notes"/>
  </x:tableColumns>
  <x:tableStyleInfo name="TableStyleMedium2" showRowStripes="1"/>
</x:table>
</file>

<file path=xl/tables/table2.xml><?xml version="1.0" encoding="utf-8"?>
<x:table xmlns:x="http://schemas.openxmlformats.org/spreadsheetml/2006/main" id="2" name="STRBenchmarks" displayName="STRBenchmarks" ref="A4:U22" headerRowCount="1">
  <x:tableColumns count="21">
    <x:tableColumn id="1" name="Market"/>
    <x:tableColumn id="2" name="Proxy / Scope"/>
    <x:tableColumn id="3" name="Annual Gross Revenue Low"/>
    <x:tableColumn id="4" name="Annual Gross Revenue High"/>
    <x:tableColumn id="5" name="Monthly Gross Low"/>
    <x:tableColumn id="6" name="Monthly Gross High"/>
    <x:tableColumn id="7" name="Occupancy Low"/>
    <x:tableColumn id="8" name="Occupancy High"/>
    <x:tableColumn id="9" name="ADR Low"/>
    <x:tableColumn id="10" name="ADR High"/>
    <x:tableColumn id="11" name="Source Count"/>
    <x:tableColumn id="12" name="Benchmark Note"/>
    <x:tableColumn id="13" name="STR Make-Ready Low $/SF"/>
    <x:tableColumn id="14" name="STR Make-Ready High $/SF"/>
    <x:tableColumn id="15" name="Furnishing / FF&amp;E Guideline"/>
    <x:tableColumn id="16" name="Regulatory Risk"/>
    <x:tableColumn id="17" name="Source 1 URL"/>
    <x:tableColumn id="18" name="Source 2 URL"/>
    <x:tableColumn id="19" name="Source 3 URL"/>
    <x:tableColumn id="20" name="Source Notes"/>
    <x:tableColumn id="2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LTRBenchmarks" displayName="LTRBenchmarks" ref="A4:N40" headerRowCount="1">
  <x:tableColumns count="14">
    <x:tableColumn id="1" name="Market"/>
    <x:tableColumn id="2" name="Market Category"/>
    <x:tableColumn id="3" name="Rent Proxy"/>
    <x:tableColumn id="4" name="Avg Monthly Rent 1BR"/>
    <x:tableColumn id="5" name="Avg Monthly Rent 2BR"/>
    <x:tableColumn id="6" name="Avg Monthly Rent 3BR"/>
    <x:tableColumn id="7" name="Vacancy Rate Est"/>
    <x:tableColumn id="8" name="Avg LTR Cap Rate Est"/>
    <x:tableColumn id="9" name="Property Tax Rate Est"/>
    <x:tableColumn id="10" name="Rent Source URL"/>
    <x:tableColumn id="11" name="Vacancy / Cap Source URL"/>
    <x:tableColumn id="12" name="Tax Source URL"/>
    <x:tableColumn id="13" name="Confidence"/>
    <x:tableColumn id="1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BRRRAssumptions" displayName="BRRRAssumptions" ref="A4:F10" headerRowCount="1">
  <x:tableColumns count="6">
    <x:tableColumn id="1" name="Assumption"/>
    <x:tableColumn id="2" name="Recommended Underwriting Range"/>
    <x:tableColumn id="3" name="Default Input"/>
    <x:tableColumn id="4" name="Why It Matters"/>
    <x:tableColumn id="5" name="Primary Source URL"/>
    <x:tableColumn id="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ModelAssumptions" displayName="ModelAssumptions" ref="A4:D15" headerRowCount="1">
  <x:tableColumns count="4">
    <x:tableColumn id="1" name="Category"/>
    <x:tableColumn id="2" name="Assumption / Rule"/>
    <x:tableColumn id="3" name="Default / Range"/>
    <x:tableColumn id="4" name="Source / Notes"/>
  </x:tableColumns>
  <x:tableStyleInfo name="TableStyleMedium2" showRowStripes="1"/>
</x:table>
</file>

<file path=xl/tables/table6.xml><?xml version="1.0" encoding="utf-8"?>
<x:table xmlns:x="http://schemas.openxmlformats.org/spreadsheetml/2006/main" id="6" name="SourceIndex" displayName="SourceIndex" ref="A4:D20" headerRowCount="1">
  <x:tableColumns count="4">
    <x:tableColumn id="1" name="Source Family"/>
    <x:tableColumn id="2" name="Use In Workbook"/>
    <x:tableColumn id="3" name="Representative URL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5ab94ce633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85adad59c149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ff9120b7aa47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4a1f30c6a24a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88d3bb137b43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edc53483c648d4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90" hidden="0" customWidth="1"/>
  </x:cols>
  <x:sheetData>
    <x:row r="1" ht="26" customHeight="1">
      <x:c r="A1" s="26" t="str">
        <x:v>Real Estate Market Benchmark Pack - Expanded 2026 Research Snapshot</x:v>
      </x:c>
      <x:c r="B1" s="26"/>
      <x:c r="C1" s="26"/>
    </x:row>
    <x:row r="2">
      <x:c r="A2" s="27" t="str">
        <x:v>Research date: 2026-05-24 | Expanded from 29 to 36 unique markets | Designed for app import and underwriting defaults</x:v>
      </x:c>
      <x:c r="B2" s="27"/>
      <x:c r="C2" s="27"/>
    </x:row>
    <x:row r="3">
      <x:c r="A3" s="28"/>
      <x:c r="B3" s="28"/>
      <x:c r="C3" s="28"/>
    </x:row>
    <x:row r="4" ht="40" customHeight="1">
      <x:c r="A4" s="29" t="str">
        <x:v>Metric</x:v>
      </x:c>
      <x:c r="B4" s="29" t="str">
        <x:v>Value</x:v>
      </x:c>
      <x:c r="C4" s="29" t="str">
        <x:v>Notes</x:v>
      </x:c>
    </x:row>
    <x:row r="5">
      <x:c r="A5" s="28" t="str">
        <x:v>Unique markets covered</x:v>
      </x:c>
      <x:c r="B5" s="28" t="n">
        <x:v>36</x:v>
      </x:c>
      <x:c r="C5" s="28" t="str">
        <x:v>Original 29 + Orlando + Denver + Austin + Raleigh + Panama City Beach + Chattanooga + Asheville. Scottsdale is also surfaced as a flip/STR crossover but was already in the original STR set.</x:v>
      </x:c>
    </x:row>
    <x:row r="6">
      <x:c r="A6" s="28" t="str">
        <x:v>Flip rows</x:v>
      </x:c>
      <x:c r="B6" s="28" t="n">
        <x:v>20</x:v>
      </x:c>
      <x:c r="C6" s="28" t="str">
        <x:v>Includes original 15 plus Denver, Austin, Raleigh, Chattanooga, and Scottsdale crossover.</x:v>
      </x:c>
    </x:row>
    <x:row r="7">
      <x:c r="A7" s="28" t="str">
        <x:v>STR rows</x:v>
      </x:c>
      <x:c r="B7" s="28" t="n">
        <x:v>18</x:v>
      </x:c>
      <x:c r="C7" s="28" t="str">
        <x:v>Includes original 14 plus Orlando, Panama City Beach, Chattanooga, and Asheville.</x:v>
      </x:c>
    </x:row>
    <x:row r="8">
      <x:c r="A8" s="28" t="str">
        <x:v>LTR rows</x:v>
      </x:c>
      <x:c r="B8" s="28" t="n">
        <x:v>36</x:v>
      </x:c>
      <x:c r="C8" s="28" t="str">
        <x:v>Every unique market has 1BR/2BR/3BR rents, vacancy, cap-rate estimate, and property-tax estimate.</x:v>
      </x:c>
    </x:row>
    <x:row r="9">
      <x:c r="A9" s="28" t="str">
        <x:v>BRRR assumptions</x:v>
      </x:c>
      <x:c r="B9" s="28" t="str">
        <x:v>Added</x:v>
      </x:c>
      <x:c r="C9" s="28" t="str">
        <x:v>DSCR rate 6.5%-7.5%, default post-refi LTV 75%, typical seasoning 6-12 months.</x:v>
      </x:c>
    </x:row>
    <x:row r="10">
      <x:c r="A10" s="28" t="str">
        <x:v>Crossovers surfaced in Flip sheet</x:v>
      </x:c>
      <x:c r="B10" s="28" t="str">
        <x:v>Yes</x:v>
      </x:c>
      <x:c r="C10" s="28" t="str">
        <x:v>All flip rows include STR viability, annual revenue range, source URL, confidence, and notes.</x:v>
      </x:c>
    </x:row>
    <x:row r="11">
      <x:c r="A11" s="28" t="str">
        <x:v>Confidence ratings</x:v>
      </x:c>
      <x:c r="B11" s="28" t="str">
        <x:v>Retained and expanded</x:v>
      </x:c>
      <x:c r="C11" s="28" t="str">
        <x:v>Surface confidence in the app UI for transparency.</x:v>
      </x:c>
    </x:row>
    <x:row r="12">
      <x:c r="A12" s="28"/>
      <x:c r="B12" s="28"/>
      <x:c r="C12" s="28"/>
    </x:row>
    <x:row r="13" ht="40" customHeight="1">
      <x:c r="A13" s="29" t="str">
        <x:v>Recommended app behavior</x:v>
      </x:c>
      <x:c r="B13" s="29" t="str">
        <x:v>Implementation note</x:v>
      </x:c>
      <x:c r="C13" s="29" t="str">
        <x:v>Why</x:v>
      </x:c>
    </x:row>
    <x:row r="14">
      <x:c r="A14" s="28" t="str">
        <x:v>Market selector</x:v>
      </x:c>
      <x:c r="B14" s="28" t="str">
        <x:v>Show all available strategies per market, not siloed tabs.</x:v>
      </x:c>
      <x:c r="C14" s="28" t="str">
        <x:v>Dallas, Nashville, Phoenix, Tampa, Scottsdale, Chattanooga, and others can support more than one underwriting path.</x:v>
      </x:c>
    </x:row>
    <x:row r="15">
      <x:c r="A15" s="28" t="str">
        <x:v>Data confidence badge</x:v>
      </x:c>
      <x:c r="B15" s="28" t="str">
        <x:v>High / Medium-High / Medium / Medium-Low</x:v>
      </x:c>
      <x:c r="C15" s="28" t="str">
        <x:v>Prevents the tool from presenting proxy data as exact fact.</x:v>
      </x:c>
    </x:row>
    <x:row r="16">
      <x:c r="A16" s="28" t="str">
        <x:v>Regulatory warnings</x:v>
      </x:c>
      <x:c r="B16" s="28" t="str">
        <x:v>Show STR regulatory notes before revenue assumptions.</x:v>
      </x:c>
      <x:c r="C16" s="28" t="str">
        <x:v>Critical for Asheville, Lake Tahoe, Park City, Scottsdale, and beach/HOA markets.</x:v>
      </x:c>
    </x:row>
    <x:row r="17">
      <x:c r="A17" s="28" t="str">
        <x:v>BRRR defaults</x:v>
      </x:c>
      <x:c r="B17" s="28" t="str">
        <x:v>Preload DSCR 7.0%, 75% refi LTV, 9-month seasoning midpoint.</x:v>
      </x:c>
      <x:c r="C17" s="28" t="str">
        <x:v>Good conservative starting point for Phase 2 analyzer.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3" hidden="0" customWidth="1"/>
    <x:col min="5" max="5" width="11" hidden="0" customWidth="1"/>
    <x:col min="6" max="6" width="16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42" hidden="0" customWidth="1"/>
    <x:col min="18" max="18" width="15" hidden="0" customWidth="1"/>
    <x:col min="19" max="19" width="15" hidden="0" customWidth="1"/>
    <x:col min="20" max="20" width="15" hidden="0" customWidth="1"/>
    <x:col min="21" max="21" width="44" hidden="0" customWidth="1"/>
    <x:col min="22" max="22" width="14" hidden="0" customWidth="1"/>
    <x:col min="23" max="23" width="50" hidden="0" customWidth="1"/>
    <x:col min="24" max="24" width="54" hidden="0" customWidth="1"/>
    <x:col min="25" max="25" width="62" hidden="0" customWidth="1"/>
  </x:cols>
  <x:sheetData>
    <x:row r="1" ht="26" customHeight="1">
      <x:c r="A1" s="5" t="str">
        <x:v>Flip Benchmarks - ARV Rules, Hold Costs, Repair Bands, and STR Crossover Signals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>
      <x:c r="A2" s="39" t="str">
        <x:v>All monthly and 6-month hold costs are formula-driven from the median ARV benchmark and market hold percentage bands. STR columns are opportunity flags, not a substitute for address-level comps.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</x:row>
    <x:row r="3">
      <x:c r="A3"/>
    </x:row>
    <x:row r="4" ht="40" customHeight="1">
      <x:c r="A4" s="48" t="str">
        <x:v>Market</x:v>
      </x:c>
      <x:c r="B4" s="48" t="str">
        <x:v>Market Role</x:v>
      </x:c>
      <x:c r="C4" s="48" t="str">
        <x:v>Median ARV Benchmark</x:v>
      </x:c>
      <x:c r="D4" s="48" t="str">
        <x:v>YoY Price Change</x:v>
      </x:c>
      <x:c r="E4" s="48" t="str">
        <x:v>Median DOM</x:v>
      </x:c>
      <x:c r="F4" s="48" t="str">
        <x:v>Market Speed Signal</x:v>
      </x:c>
      <x:c r="G4" s="48" t="str">
        <x:v>ARV Rule Low</x:v>
      </x:c>
      <x:c r="H4" s="48" t="str">
        <x:v>ARV Rule High</x:v>
      </x:c>
      <x:c r="I4" s="48" t="str">
        <x:v>Hold Low %/Mo</x:v>
      </x:c>
      <x:c r="J4" s="48" t="str">
        <x:v>Hold High %/Mo</x:v>
      </x:c>
      <x:c r="K4" s="48" t="str">
        <x:v>Monthly Hold Low</x:v>
      </x:c>
      <x:c r="L4" s="48" t="str">
        <x:v>Monthly Hold High</x:v>
      </x:c>
      <x:c r="M4" s="48" t="str">
        <x:v>6-Mo Hold Low</x:v>
      </x:c>
      <x:c r="N4" s="48" t="str">
        <x:v>6-Mo Hold High</x:v>
      </x:c>
      <x:c r="O4" s="48" t="str">
        <x:v>Repair Low $/SF</x:v>
      </x:c>
      <x:c r="P4" s="48" t="str">
        <x:v>Repair High $/SF</x:v>
      </x:c>
      <x:c r="Q4" s="48" t="str">
        <x:v>Rehab Scope Note</x:v>
      </x:c>
      <x:c r="R4" s="48" t="str">
        <x:v>STR Viability</x:v>
      </x:c>
      <x:c r="S4" s="48" t="str">
        <x:v>STR Annual Revenue Low</x:v>
      </x:c>
      <x:c r="T4" s="48" t="str">
        <x:v>STR Annual Revenue High</x:v>
      </x:c>
      <x:c r="U4" s="48" t="str">
        <x:v>STR Revenue Source URL</x:v>
      </x:c>
      <x:c r="V4" s="48" t="str">
        <x:v>STR Confidence</x:v>
      </x:c>
      <x:c r="W4" s="48" t="str">
        <x:v>Crossover Notes</x:v>
      </x:c>
      <x:c r="X4" s="48" t="str">
        <x:v>Primary Source URL</x:v>
      </x:c>
      <x:c r="Y4" s="48" t="str">
        <x:v>Method / Source Notes</x:v>
      </x:c>
    </x:row>
    <x:row r="5">
      <x:c r="A5" s="28" t="str">
        <x:v>Charlotte, NC</x:v>
      </x:c>
      <x:c r="B5" s="28" t="str">
        <x:v>Flip</x:v>
      </x:c>
      <x:c r="C5" s="54" t="n">
        <x:v>427000</x:v>
      </x:c>
      <x:c r="D5" s="56" t="n">
        <x:v>-0.013</x:v>
      </x:c>
      <x:c r="E5" s="58" t="n">
        <x:v>55</x:v>
      </x:c>
      <x:c r="F5" s="28" t="str">
        <x:v>Normal</x:v>
      </x:c>
      <x:c r="G5" s="56" t="n">
        <x:v>0.67</x:v>
      </x:c>
      <x:c r="H5" s="56" t="n">
        <x:v>0.7</x:v>
      </x:c>
      <x:c r="I5" s="56" t="n">
        <x:v>0.0055</x:v>
      </x:c>
      <x:c r="J5" s="56" t="n">
        <x:v>0.008</x:v>
      </x:c>
      <x:c r="K5" s="54" t="n">
        <x:f>ROUND(C5*I5,-2)</x:f>
        <x:v>2300</x:v>
      </x:c>
      <x:c r="L5" s="54" t="n">
        <x:f>ROUND(C5*J5,-2)</x:f>
        <x:v>3400</x:v>
      </x:c>
      <x:c r="M5" s="54" t="n">
        <x:f>K5*6</x:f>
        <x:v>13800</x:v>
      </x:c>
      <x:c r="N5" s="54" t="n">
        <x:f>L5*6</x:f>
        <x:v>20400</x:v>
      </x:c>
      <x:c r="O5" s="58" t="n">
        <x:v>40</x:v>
      </x:c>
      <x:c r="P5" s="58" t="n">
        <x:v>85</x:v>
      </x:c>
      <x:c r="Q5" s="28" t="str">
        <x:v>Cosmetic-to-medium rehabs; use higher band for older roof, HVAC, plumbing/electrical.</x:v>
      </x:c>
      <x:c r="R5" s="28" t="str">
        <x:v>Medium</x:v>
      </x:c>
      <x:c r="S5" s="54" t="n">
        <x:v>28000</x:v>
      </x:c>
      <x:c r="T5" s="54" t="n">
        <x:v>44000</x:v>
      </x:c>
      <x:c r="U5" s="28" t="str">
        <x:v>https://www.airroi.com/airbnb-data/united-states/north-carolina/charlotte</x:v>
      </x:c>
      <x:c r="V5" s="28" t="str">
        <x:v>Medium</x:v>
      </x:c>
      <x:c r="W5" s="28" t="str">
        <x:v>Urban/event STRs can work but underwriting should confirm city licensing, HOA, parking, and neighborhood comps.</x:v>
      </x:c>
      <x:c r="X5" s="28" t="str">
        <x:v>https://www.redfin.com/city/3105/NC/Charlotte/housing-market</x:v>
      </x:c>
      <x:c r="Y5" s="28" t="str">
        <x:v>70% baseline adjusted for normal DOM and modest YoY softness; STR range is a city-level crossover signal, not the primary exit.</x:v>
      </x:c>
    </x:row>
    <x:row r="6">
      <x:c r="A6" s="28" t="str">
        <x:v>Atlanta, GA</x:v>
      </x:c>
      <x:c r="B6" s="28" t="str">
        <x:v>Flip</x:v>
      </x:c>
      <x:c r="C6" s="54" t="n">
        <x:v>434000</x:v>
      </x:c>
      <x:c r="D6" s="56" t="n">
        <x:v>-0.047</x:v>
      </x:c>
      <x:c r="E6" s="58" t="n">
        <x:v>70</x:v>
      </x:c>
      <x:c r="F6" s="28" t="str">
        <x:v>Slow</x:v>
      </x:c>
      <x:c r="G6" s="56" t="n">
        <x:v>0.64</x:v>
      </x:c>
      <x:c r="H6" s="56" t="n">
        <x:v>0.68</x:v>
      </x:c>
      <x:c r="I6" s="56" t="n">
        <x:v>0.0058</x:v>
      </x:c>
      <x:c r="J6" s="56" t="n">
        <x:v>0.0085</x:v>
      </x:c>
      <x:c r="K6" s="54" t="n">
        <x:f>ROUND(C6*I6,-2)</x:f>
        <x:v>2500</x:v>
      </x:c>
      <x:c r="L6" s="54" t="n">
        <x:f>ROUND(C6*J6,-2)</x:f>
        <x:v>3700</x:v>
      </x:c>
      <x:c r="M6" s="54" t="n">
        <x:f>K6*6</x:f>
        <x:v>15000</x:v>
      </x:c>
      <x:c r="N6" s="54" t="n">
        <x:f>L6*6</x:f>
        <x:v>22200</x:v>
      </x:c>
      <x:c r="O6" s="58" t="n">
        <x:v>42</x:v>
      </x:c>
      <x:c r="P6" s="58" t="n">
        <x:v>90</x:v>
      </x:c>
      <x:c r="Q6" s="28" t="str">
        <x:v>Medium rehabs common; budget older systems, permitting, and neighborhood-specific buyer expectations.</x:v>
      </x:c>
      <x:c r="R6" s="28" t="str">
        <x:v>Medium</x:v>
      </x:c>
      <x:c r="S6" s="54" t="n">
        <x:v>30000</x:v>
      </x:c>
      <x:c r="T6" s="54" t="n">
        <x:v>48000</x:v>
      </x:c>
      <x:c r="U6" s="28" t="str">
        <x:v>https://www.airroi.com/airbnb-data/united-states/georgia/atlanta</x:v>
      </x:c>
      <x:c r="V6" s="28" t="str">
        <x:v>Medium</x:v>
      </x:c>
      <x:c r="W6" s="28" t="str">
        <x:v>STR viability varies heavily by neighborhood, event access, parking, and local/HOA restrictions.</x:v>
      </x:c>
      <x:c r="X6" s="28" t="str">
        <x:v>https://www.redfin.com/city/30756/GA/Atlanta/housing-market</x:v>
      </x:c>
      <x:c r="Y6" s="28" t="str">
        <x:v>Discounted below 70% baseline for slower resale and negative YoY signal.</x:v>
      </x:c>
    </x:row>
    <x:row r="7">
      <x:c r="A7" s="28" t="str">
        <x:v>Dallas, TX</x:v>
      </x:c>
      <x:c r="B7" s="28" t="str">
        <x:v>Flip + STR Crossover</x:v>
      </x:c>
      <x:c r="C7" s="54" t="n">
        <x:v>495000</x:v>
      </x:c>
      <x:c r="D7" s="56" t="n">
        <x:v>0.138</x:v>
      </x:c>
      <x:c r="E7" s="58" t="n">
        <x:v>45</x:v>
      </x:c>
      <x:c r="F7" s="28" t="str">
        <x:v>Normal</x:v>
      </x:c>
      <x:c r="G7" s="56" t="n">
        <x:v>0.68</x:v>
      </x:c>
      <x:c r="H7" s="56" t="n">
        <x:v>0.72</x:v>
      </x:c>
      <x:c r="I7" s="56" t="n">
        <x:v>0.0062</x:v>
      </x:c>
      <x:c r="J7" s="56" t="n">
        <x:v>0.009</x:v>
      </x:c>
      <x:c r="K7" s="54" t="n">
        <x:f>ROUND(C7*I7,-2)</x:f>
        <x:v>3100</x:v>
      </x:c>
      <x:c r="L7" s="54" t="n">
        <x:f>ROUND(C7*J7,-2)</x:f>
        <x:v>4500</x:v>
      </x:c>
      <x:c r="M7" s="54" t="n">
        <x:f>K7*6</x:f>
        <x:v>18600</x:v>
      </x:c>
      <x:c r="N7" s="54" t="n">
        <x:f>L7*6</x:f>
        <x:v>27000</x:v>
      </x:c>
      <x:c r="O7" s="58" t="n">
        <x:v>45</x:v>
      </x:c>
      <x:c r="P7" s="58" t="n">
        <x:v>95</x:v>
      </x:c>
      <x:c r="Q7" s="28" t="str">
        <x:v>Medium-to-heavy rehabs; allow higher MEP and foundation contingency in older submarkets.</x:v>
      </x:c>
      <x:c r="R7" s="28" t="str">
        <x:v>Medium-High</x:v>
      </x:c>
      <x:c r="S7" s="54" t="n">
        <x:v>28000</x:v>
      </x:c>
      <x:c r="T7" s="54" t="n">
        <x:v>50000</x:v>
      </x:c>
      <x:c r="U7" s="28" t="str">
        <x:v>https://www.airroi.com/airbnb-data/united-states/texas/dallas</x:v>
      </x:c>
      <x:c r="V7" s="28" t="str">
        <x:v>Medium</x:v>
      </x:c>
      <x:c r="W7" s="28" t="str">
        <x:v>Crossover market: corporate, medical, sports, and event demand can support STRs; verify city registration and HOA limits.</x:v>
      </x:c>
      <x:c r="X7" s="28" t="str">
        <x:v>https://www.redfin.com/city/30794/TX/Dallas/housing-market</x:v>
      </x:c>
      <x:c r="Y7" s="28" t="str">
        <x:v>Higher YoY appreciation supports upper ARV-rule band, but Texas tax/insurance and foundation risk keep a hold-cost premium.</x:v>
      </x:c>
    </x:row>
    <x:row r="8">
      <x:c r="A8" s="28" t="str">
        <x:v>Phoenix, AZ</x:v>
      </x:c>
      <x:c r="B8" s="28" t="str">
        <x:v>Flip + STR Crossover</x:v>
      </x:c>
      <x:c r="C8" s="54" t="n">
        <x:v>460000</x:v>
      </x:c>
      <x:c r="D8" s="56" t="n">
        <x:v>-0.052</x:v>
      </x:c>
      <x:c r="E8" s="58" t="n">
        <x:v>51</x:v>
      </x:c>
      <x:c r="F8" s="28" t="str">
        <x:v>Normal</x:v>
      </x:c>
      <x:c r="G8" s="56" t="n">
        <x:v>0.65</x:v>
      </x:c>
      <x:c r="H8" s="56" t="n">
        <x:v>0.69</x:v>
      </x:c>
      <x:c r="I8" s="56" t="n">
        <x:v>0.006</x:v>
      </x:c>
      <x:c r="J8" s="56" t="n">
        <x:v>0.0088</x:v>
      </x:c>
      <x:c r="K8" s="54" t="n">
        <x:f>ROUND(C8*I8,-2)</x:f>
        <x:v>2800</x:v>
      </x:c>
      <x:c r="L8" s="54" t="n">
        <x:f>ROUND(C8*J8,-2)</x:f>
        <x:v>4000</x:v>
      </x:c>
      <x:c r="M8" s="54" t="n">
        <x:f>K8*6</x:f>
        <x:v>16800</x:v>
      </x:c>
      <x:c r="N8" s="54" t="n">
        <x:f>L8*6</x:f>
        <x:v>24000</x:v>
      </x:c>
      <x:c r="O8" s="58" t="n">
        <x:v>45</x:v>
      </x:c>
      <x:c r="P8" s="58" t="n">
        <x:v>95</x:v>
      </x:c>
      <x:c r="Q8" s="28" t="str">
        <x:v>Cosmetic-to-medium rehabs; budget HVAC, roofs, pool repairs, and heat-related exterior items.</x:v>
      </x:c>
      <x:c r="R8" s="28" t="str">
        <x:v>Medium</x:v>
      </x:c>
      <x:c r="S8" s="54" t="n">
        <x:v>30000</x:v>
      </x:c>
      <x:c r="T8" s="54" t="n">
        <x:v>52000</x:v>
      </x:c>
      <x:c r="U8" s="28" t="str">
        <x:v>https://www.airroi.com/airbnb-data/united-states/arizona/phoenix</x:v>
      </x:c>
      <x:c r="V8" s="28" t="str">
        <x:v>Medium</x:v>
      </x:c>
      <x:c r="W8" s="28" t="str">
        <x:v>STR demand exists, but Scottsdale usually carries stronger ADR; confirm municipal/HOA rules and pool operating costs.</x:v>
      </x:c>
      <x:c r="X8" s="28" t="str">
        <x:v>https://www.redfin.com/city/14240/AZ/Phoenix/housing-market</x:v>
      </x:c>
      <x:c r="Y8" s="28" t="str">
        <x:v>Rule reduced for YoY softness and sunbelt inventory/carry risk.</x:v>
      </x:c>
    </x:row>
    <x:row r="9">
      <x:c r="A9" s="28" t="str">
        <x:v>Tampa, FL</x:v>
      </x:c>
      <x:c r="B9" s="28" t="str">
        <x:v>Flip + STR Crossover</x:v>
      </x:c>
      <x:c r="C9" s="54" t="n">
        <x:v>433000</x:v>
      </x:c>
      <x:c r="D9" s="56" t="n">
        <x:v>0.042</x:v>
      </x:c>
      <x:c r="E9" s="58" t="n">
        <x:v>50</x:v>
      </x:c>
      <x:c r="F9" s="28" t="str">
        <x:v>Normal</x:v>
      </x:c>
      <x:c r="G9" s="56" t="n">
        <x:v>0.65</x:v>
      </x:c>
      <x:c r="H9" s="56" t="n">
        <x:v>0.68</x:v>
      </x:c>
      <x:c r="I9" s="56" t="n">
        <x:v>0.0065</x:v>
      </x:c>
      <x:c r="J9" s="56" t="n">
        <x:v>0.0095</x:v>
      </x:c>
      <x:c r="K9" s="54" t="n">
        <x:f>ROUND(C9*I9,-2)</x:f>
        <x:v>2800</x:v>
      </x:c>
      <x:c r="L9" s="54" t="n">
        <x:f>ROUND(C9*J9,-2)</x:f>
        <x:v>4100</x:v>
      </x:c>
      <x:c r="M9" s="54" t="n">
        <x:f>K9*6</x:f>
        <x:v>16800</x:v>
      </x:c>
      <x:c r="N9" s="54" t="n">
        <x:f>L9*6</x:f>
        <x:v>24600</x:v>
      </x:c>
      <x:c r="O9" s="58" t="n">
        <x:v>48</x:v>
      </x:c>
      <x:c r="P9" s="58" t="n">
        <x:v>100</x:v>
      </x:c>
      <x:c r="Q9" s="28" t="str">
        <x:v>Medium rehabs; raise allowance for roof age, wind mitigation, flood zones, and insurance-driven buyer concerns.</x:v>
      </x:c>
      <x:c r="R9" s="28" t="str">
        <x:v>Medium-High</x:v>
      </x:c>
      <x:c r="S9" s="54" t="n">
        <x:v>35000</x:v>
      </x:c>
      <x:c r="T9" s="54" t="n">
        <x:v>58000</x:v>
      </x:c>
      <x:c r="U9" s="28" t="str">
        <x:v>https://www.airroi.com/airbnb-data/united-states/florida/tampa</x:v>
      </x:c>
      <x:c r="V9" s="28" t="str">
        <x:v>Medium</x:v>
      </x:c>
      <x:c r="W9" s="28" t="str">
        <x:v>Crossover driven by beaches, events, medical/corporate, and cruise travel; address-level regulation and insurance matter.</x:v>
      </x:c>
      <x:c r="X9" s="28" t="str">
        <x:v>https://www.redfin.com/city/18142/FL/Tampa/housing-market</x:v>
      </x:c>
      <x:c r="Y9" s="28" t="str">
        <x:v>Florida insurance/flood/roof risk compresses ARV rule despite positive YoY movement.</x:v>
      </x:c>
    </x:row>
    <x:row r="10">
      <x:c r="A10" s="28" t="str">
        <x:v>Nashville, TN</x:v>
      </x:c>
      <x:c r="B10" s="28" t="str">
        <x:v>Flip + STR Crossover</x:v>
      </x:c>
      <x:c r="C10" s="54" t="n">
        <x:v>470000</x:v>
      </x:c>
      <x:c r="D10" s="56" t="n">
        <x:v>0.022</x:v>
      </x:c>
      <x:c r="E10" s="58" t="n">
        <x:v>98</x:v>
      </x:c>
      <x:c r="F10" s="28" t="str">
        <x:v>Very slow</x:v>
      </x:c>
      <x:c r="G10" s="56" t="n">
        <x:v>0.62</x:v>
      </x:c>
      <x:c r="H10" s="56" t="n">
        <x:v>0.66</x:v>
      </x:c>
      <x:c r="I10" s="56" t="n">
        <x:v>0.006</x:v>
      </x:c>
      <x:c r="J10" s="56" t="n">
        <x:v>0.009</x:v>
      </x:c>
      <x:c r="K10" s="54" t="n">
        <x:f>ROUND(C10*I10,-2)</x:f>
        <x:v>2800</x:v>
      </x:c>
      <x:c r="L10" s="54" t="n">
        <x:f>ROUND(C10*J10,-2)</x:f>
        <x:v>4200</x:v>
      </x:c>
      <x:c r="M10" s="54" t="n">
        <x:f>K10*6</x:f>
        <x:v>16800</x:v>
      </x:c>
      <x:c r="N10" s="54" t="n">
        <x:f>L10*6</x:f>
        <x:v>25200</x:v>
      </x:c>
      <x:c r="O10" s="58" t="n">
        <x:v>45</x:v>
      </x:c>
      <x:c r="P10" s="58" t="n">
        <x:v>95</x:v>
      </x:c>
      <x:c r="Q10" s="28" t="str">
        <x:v>Medium rehabs; allow finish premiums near tourist cores and stronger holding buffer for slow resale.</x:v>
      </x:c>
      <x:c r="R10" s="28" t="str">
        <x:v>High</x:v>
      </x:c>
      <x:c r="S10" s="54" t="n">
        <x:v>50000</x:v>
      </x:c>
      <x:c r="T10" s="54" t="n">
        <x:v>78000</x:v>
      </x:c>
      <x:c r="U10" s="28" t="str">
        <x:v>https://www.airroi.com/airbnb-data/united-states/tennessee/nashville</x:v>
      </x:c>
      <x:c r="V10" s="28" t="str">
        <x:v>Medium-High</x:v>
      </x:c>
      <x:c r="W10" s="28" t="str">
        <x:v>Major crossover market; STR performance depends on owner-occupied/non-owner permits, zoning overlays, and proximity to demand generators.</x:v>
      </x:c>
      <x:c r="X10" s="28" t="str">
        <x:v>https://www.redfin.com/city/13415/TN/Nashville/housing-market</x:v>
      </x:c>
      <x:c r="Y10" s="28" t="str">
        <x:v>ARV rule discounted for very high DOM; STR range surfaced because revenue can change exit strategy.</x:v>
      </x:c>
    </x:row>
    <x:row r="11">
      <x:c r="A11" s="28" t="str">
        <x:v>Indianapolis, IN</x:v>
      </x:c>
      <x:c r="B11" s="28" t="str">
        <x:v>Flip</x:v>
      </x:c>
      <x:c r="C11" s="54" t="n">
        <x:v>245000</x:v>
      </x:c>
      <x:c r="D11" s="56" t="n">
        <x:v>-0.011</x:v>
      </x:c>
      <x:c r="E11" s="58" t="n">
        <x:v>55</x:v>
      </x:c>
      <x:c r="F11" s="28" t="str">
        <x:v>Normal</x:v>
      </x:c>
      <x:c r="G11" s="56" t="n">
        <x:v>0.68</x:v>
      </x:c>
      <x:c r="H11" s="56" t="n">
        <x:v>0.71</x:v>
      </x:c>
      <x:c r="I11" s="56" t="n">
        <x:v>0.0055</x:v>
      </x:c>
      <x:c r="J11" s="56" t="n">
        <x:v>0.008</x:v>
      </x:c>
      <x:c r="K11" s="54" t="n">
        <x:f>ROUND(C11*I11,-2)</x:f>
        <x:v>1300</x:v>
      </x:c>
      <x:c r="L11" s="54" t="n">
        <x:f>ROUND(C11*J11,-2)</x:f>
        <x:v>2000</x:v>
      </x:c>
      <x:c r="M11" s="54" t="n">
        <x:f>K11*6</x:f>
        <x:v>7800</x:v>
      </x:c>
      <x:c r="N11" s="54" t="n">
        <x:f>L11*6</x:f>
        <x:v>12000</x:v>
      </x:c>
      <x:c r="O11" s="58" t="n">
        <x:v>35</x:v>
      </x:c>
      <x:c r="P11" s="58" t="n">
        <x:v>75</x:v>
      </x:c>
      <x:c r="Q11" s="28" t="str">
        <x:v>Cosmetic-to-medium rehabs; older housing stock may need MEP, roof, and basement allowance.</x:v>
      </x:c>
      <x:c r="R11" s="28" t="str">
        <x:v>Low-Medium</x:v>
      </x:c>
      <x:c r="S11" s="54" t="n">
        <x:v>22000</x:v>
      </x:c>
      <x:c r="T11" s="54" t="n">
        <x:v>36000</x:v>
      </x:c>
      <x:c r="U11" s="28" t="str">
        <x:v>https://www.airroi.com/airbnb-data/united-states/indiana/indianapolis</x:v>
      </x:c>
      <x:c r="V11" s="28" t="str">
        <x:v>Medium</x:v>
      </x:c>
      <x:c r="W11" s="28" t="str">
        <x:v>STR can work around sports/conventions/medical nodes, but LTR/flip is generally more repeatable.</x:v>
      </x:c>
      <x:c r="X11" s="28" t="str">
        <x:v>https://www.redfin.com/city/9170/IN/Indianapolis/housing-market</x:v>
      </x:c>
      <x:c r="Y11" s="28" t="str">
        <x:v>Balanced investor market; mid-60s to low-70s rule depending on repair certainty and resale micro-market.</x:v>
      </x:c>
    </x:row>
    <x:row r="12">
      <x:c r="A12" s="28" t="str">
        <x:v>Columbus, OH</x:v>
      </x:c>
      <x:c r="B12" s="28" t="str">
        <x:v>Flip</x:v>
      </x:c>
      <x:c r="C12" s="54" t="n">
        <x:v>290000</x:v>
      </x:c>
      <x:c r="D12" s="56" t="n">
        <x:v>0.039</x:v>
      </x:c>
      <x:c r="E12" s="58" t="n">
        <x:v>47</x:v>
      </x:c>
      <x:c r="F12" s="28" t="str">
        <x:v>Normal</x:v>
      </x:c>
      <x:c r="G12" s="56" t="n">
        <x:v>0.7</x:v>
      </x:c>
      <x:c r="H12" s="56" t="n">
        <x:v>0.73</x:v>
      </x:c>
      <x:c r="I12" s="56" t="n">
        <x:v>0.0055</x:v>
      </x:c>
      <x:c r="J12" s="56" t="n">
        <x:v>0.008</x:v>
      </x:c>
      <x:c r="K12" s="54" t="n">
        <x:f>ROUND(C12*I12,-2)</x:f>
        <x:v>1600</x:v>
      </x:c>
      <x:c r="L12" s="54" t="n">
        <x:f>ROUND(C12*J12,-2)</x:f>
        <x:v>2300</x:v>
      </x:c>
      <x:c r="M12" s="54" t="n">
        <x:f>K12*6</x:f>
        <x:v>9600</x:v>
      </x:c>
      <x:c r="N12" s="54" t="n">
        <x:f>L12*6</x:f>
        <x:v>13800</x:v>
      </x:c>
      <x:c r="O12" s="58" t="n">
        <x:v>38</x:v>
      </x:c>
      <x:c r="P12" s="58" t="n">
        <x:v>80</x:v>
      </x:c>
      <x:c r="Q12" s="28" t="str">
        <x:v>Cosmetic-to-medium rehabs; strong buyer demand supports disciplined but not aggressive underwriting.</x:v>
      </x:c>
      <x:c r="R12" s="28" t="str">
        <x:v>Low-Medium</x:v>
      </x:c>
      <x:c r="S12" s="54" t="n">
        <x:v>23000</x:v>
      </x:c>
      <x:c r="T12" s="54" t="n">
        <x:v>38000</x:v>
      </x:c>
      <x:c r="U12" s="28" t="str">
        <x:v>https://www.airroi.com/airbnb-data/united-states/ohio/columbus</x:v>
      </x:c>
      <x:c r="V12" s="28" t="str">
        <x:v>Medium</x:v>
      </x:c>
      <x:c r="W12" s="28" t="str">
        <x:v>Event/university/medical demand can support select STRs; confirm local licensing and property type.</x:v>
      </x:c>
      <x:c r="X12" s="28" t="str">
        <x:v>https://www.redfin.com/city/4664/OH/Columbus/housing-market</x:v>
      </x:c>
      <x:c r="Y12" s="28" t="str">
        <x:v>Slight premium over 70% rule for steadier resale and positive YoY movement.</x:v>
      </x:c>
    </x:row>
    <x:row r="13">
      <x:c r="A13" s="28" t="str">
        <x:v>Kansas City, MO</x:v>
      </x:c>
      <x:c r="B13" s="28" t="str">
        <x:v>Flip</x:v>
      </x:c>
      <x:c r="C13" s="54" t="n">
        <x:v>291000</x:v>
      </x:c>
      <x:c r="D13" s="56" t="n">
        <x:v>0.058</x:v>
      </x:c>
      <x:c r="E13" s="58" t="n">
        <x:v>34</x:v>
      </x:c>
      <x:c r="F13" s="28" t="str">
        <x:v>Fast</x:v>
      </x:c>
      <x:c r="G13" s="56" t="n">
        <x:v>0.71</x:v>
      </x:c>
      <x:c r="H13" s="56" t="n">
        <x:v>0.74</x:v>
      </x:c>
      <x:c r="I13" s="56" t="n">
        <x:v>0.0055</x:v>
      </x:c>
      <x:c r="J13" s="56" t="n">
        <x:v>0.008</x:v>
      </x:c>
      <x:c r="K13" s="54" t="n">
        <x:f>ROUND(C13*I13,-2)</x:f>
        <x:v>1600</x:v>
      </x:c>
      <x:c r="L13" s="54" t="n">
        <x:f>ROUND(C13*J13,-2)</x:f>
        <x:v>2300</x:v>
      </x:c>
      <x:c r="M13" s="54" t="n">
        <x:f>K13*6</x:f>
        <x:v>9600</x:v>
      </x:c>
      <x:c r="N13" s="54" t="n">
        <x:f>L13*6</x:f>
        <x:v>13800</x:v>
      </x:c>
      <x:c r="O13" s="58" t="n">
        <x:v>35</x:v>
      </x:c>
      <x:c r="P13" s="58" t="n">
        <x:v>75</x:v>
      </x:c>
      <x:c r="Q13" s="28" t="str">
        <x:v>Cosmetic-to-medium rehabs; budget roof, sewer line, and older mechanical risk in vintage stock.</x:v>
      </x:c>
      <x:c r="R13" s="28" t="str">
        <x:v>Low-Medium</x:v>
      </x:c>
      <x:c r="S13" s="54" t="n">
        <x:v>24000</x:v>
      </x:c>
      <x:c r="T13" s="54" t="n">
        <x:v>40000</x:v>
      </x:c>
      <x:c r="U13" s="28" t="str">
        <x:v>https://www.airroi.com/airbnb-data/united-states/missouri/kansas-city</x:v>
      </x:c>
      <x:c r="V13" s="28" t="str">
        <x:v>Medium</x:v>
      </x:c>
      <x:c r="W13" s="28" t="str">
        <x:v>STR demand is neighborhood/event-driven; flip/LTR comps remain the primary underwriting base.</x:v>
      </x:c>
      <x:c r="X13" s="28" t="str">
        <x:v>https://www.redfin.com/city/35751/MO/Kansas-City/housing-market</x:v>
      </x:c>
      <x:c r="Y13" s="28" t="str">
        <x:v>Faster DOM and positive YoY movement support upper rule band when repair scope is tight.</x:v>
      </x:c>
    </x:row>
    <x:row r="14">
      <x:c r="A14" s="28" t="str">
        <x:v>Memphis, TN</x:v>
      </x:c>
      <x:c r="B14" s="28" t="str">
        <x:v>Flip</x:v>
      </x:c>
      <x:c r="C14" s="54" t="n">
        <x:v>210000</x:v>
      </x:c>
      <x:c r="D14" s="56" t="n">
        <x:v>0.144</x:v>
      </x:c>
      <x:c r="E14" s="58" t="n">
        <x:v>58</x:v>
      </x:c>
      <x:c r="F14" s="28" t="str">
        <x:v>Normal</x:v>
      </x:c>
      <x:c r="G14" s="56" t="n">
        <x:v>0.66</x:v>
      </x:c>
      <x:c r="H14" s="56" t="n">
        <x:v>0.7</x:v>
      </x:c>
      <x:c r="I14" s="56" t="n">
        <x:v>0.0058</x:v>
      </x:c>
      <x:c r="J14" s="56" t="n">
        <x:v>0.0085</x:v>
      </x:c>
      <x:c r="K14" s="54" t="n">
        <x:f>ROUND(C14*I14,-2)</x:f>
        <x:v>1200</x:v>
      </x:c>
      <x:c r="L14" s="54" t="n">
        <x:f>ROUND(C14*J14,-2)</x:f>
        <x:v>1800</x:v>
      </x:c>
      <x:c r="M14" s="54" t="n">
        <x:f>K14*6</x:f>
        <x:v>7200</x:v>
      </x:c>
      <x:c r="N14" s="54" t="n">
        <x:f>L14*6</x:f>
        <x:v>10800</x:v>
      </x:c>
      <x:c r="O14" s="58" t="n">
        <x:v>30</x:v>
      </x:c>
      <x:c r="P14" s="58" t="n">
        <x:v>70</x:v>
      </x:c>
      <x:c r="Q14" s="28" t="str">
        <x:v>Cosmetic-to-medium rehabs; keep high contingency for older MEP, roof, and submarket liquidity risk.</x:v>
      </x:c>
      <x:c r="R14" s="28" t="str">
        <x:v>Low-Medium</x:v>
      </x:c>
      <x:c r="S14" s="54" t="n">
        <x:v>21000</x:v>
      </x:c>
      <x:c r="T14" s="54" t="n">
        <x:v>35000</x:v>
      </x:c>
      <x:c r="U14" s="28" t="str">
        <x:v>https://www.airroi.com/airbnb-data/united-states/tennessee/memphis</x:v>
      </x:c>
      <x:c r="V14" s="28" t="str">
        <x:v>Medium</x:v>
      </x:c>
      <x:c r="W14" s="28" t="str">
        <x:v>STR viability exists but neighborhood safety, demand generators, and licensing diligence are critical.</x:v>
      </x:c>
      <x:c r="X14" s="28" t="str">
        <x:v>https://www.redfin.com/city/12260/TN/Memphis/housing-market</x:v>
      </x:c>
      <x:c r="Y14" s="28" t="str">
        <x:v>High YoY signal offset by liquidity, appraisal, and neighborhood spread risk.</x:v>
      </x:c>
    </x:row>
    <x:row r="15">
      <x:c r="A15" s="28" t="str">
        <x:v>Jacksonville, FL</x:v>
      </x:c>
      <x:c r="B15" s="28" t="str">
        <x:v>Flip + STR Crossover</x:v>
      </x:c>
      <x:c r="C15" s="54" t="n">
        <x:v>300000</x:v>
      </x:c>
      <x:c r="D15" s="56" t="n">
        <x:v>0</x:v>
      </x:c>
      <x:c r="E15" s="58" t="n">
        <x:v>69</x:v>
      </x:c>
      <x:c r="F15" s="28" t="str">
        <x:v>Slow</x:v>
      </x:c>
      <x:c r="G15" s="56" t="n">
        <x:v>0.64</x:v>
      </x:c>
      <x:c r="H15" s="56" t="n">
        <x:v>0.68</x:v>
      </x:c>
      <x:c r="I15" s="56" t="n">
        <x:v>0.0065</x:v>
      </x:c>
      <x:c r="J15" s="56" t="n">
        <x:v>0.0095</x:v>
      </x:c>
      <x:c r="K15" s="54" t="n">
        <x:f>ROUND(C15*I15,-2)</x:f>
        <x:v>2000</x:v>
      </x:c>
      <x:c r="L15" s="54" t="n">
        <x:f>ROUND(C15*J15,-2)</x:f>
        <x:v>2900</x:v>
      </x:c>
      <x:c r="M15" s="54" t="n">
        <x:f>K15*6</x:f>
        <x:v>12000</x:v>
      </x:c>
      <x:c r="N15" s="54" t="n">
        <x:f>L15*6</x:f>
        <x:v>17400</x:v>
      </x:c>
      <x:c r="O15" s="58" t="n">
        <x:v>42</x:v>
      </x:c>
      <x:c r="P15" s="58" t="n">
        <x:v>90</x:v>
      </x:c>
      <x:c r="Q15" s="28" t="str">
        <x:v>Medium rehabs; Florida roof/insurance/flood items need explicit line-item underwriting.</x:v>
      </x:c>
      <x:c r="R15" s="28" t="str">
        <x:v>Medium</x:v>
      </x:c>
      <x:c r="S15" s="54" t="n">
        <x:v>26000</x:v>
      </x:c>
      <x:c r="T15" s="54" t="n">
        <x:v>42000</x:v>
      </x:c>
      <x:c r="U15" s="28" t="str">
        <x:v>https://www.airroi.com/airbnb-data/united-states/florida/jacksonville</x:v>
      </x:c>
      <x:c r="V15" s="28" t="str">
        <x:v>Medium</x:v>
      </x:c>
      <x:c r="W15" s="28" t="str">
        <x:v>Beach, medical, sports, and corporate submarkets can work; verify county/city STR rules and flood zones.</x:v>
      </x:c>
      <x:c r="X15" s="28" t="str">
        <x:v>https://www.redfin.com/city/8907/FL/Jacksonville/housing-market</x:v>
      </x:c>
      <x:c r="Y15" s="28" t="str">
        <x:v>Slow DOM and insurance risk compress rule below generic 70% heuristic.</x:v>
      </x:c>
    </x:row>
    <x:row r="16">
      <x:c r="A16" s="28" t="str">
        <x:v>San Antonio, TX</x:v>
      </x:c>
      <x:c r="B16" s="28" t="str">
        <x:v>Flip + STR Crossover</x:v>
      </x:c>
      <x:c r="C16" s="54" t="n">
        <x:v>260000</x:v>
      </x:c>
      <x:c r="D16" s="56" t="n">
        <x:v>-0.033</x:v>
      </x:c>
      <x:c r="E16" s="58" t="n">
        <x:v>98</x:v>
      </x:c>
      <x:c r="F16" s="28" t="str">
        <x:v>Very slow</x:v>
      </x:c>
      <x:c r="G16" s="56" t="n">
        <x:v>0.62</x:v>
      </x:c>
      <x:c r="H16" s="56" t="n">
        <x:v>0.66</x:v>
      </x:c>
      <x:c r="I16" s="56" t="n">
        <x:v>0.0062</x:v>
      </x:c>
      <x:c r="J16" s="56" t="n">
        <x:v>0.009</x:v>
      </x:c>
      <x:c r="K16" s="54" t="n">
        <x:f>ROUND(C16*I16,-2)</x:f>
        <x:v>1600</x:v>
      </x:c>
      <x:c r="L16" s="54" t="n">
        <x:f>ROUND(C16*J16,-2)</x:f>
        <x:v>2300</x:v>
      </x:c>
      <x:c r="M16" s="54" t="n">
        <x:f>K16*6</x:f>
        <x:v>9600</x:v>
      </x:c>
      <x:c r="N16" s="54" t="n">
        <x:f>L16*6</x:f>
        <x:v>13800</x:v>
      </x:c>
      <x:c r="O16" s="58" t="n">
        <x:v>38</x:v>
      </x:c>
      <x:c r="P16" s="58" t="n">
        <x:v>82</x:v>
      </x:c>
      <x:c r="Q16" s="28" t="str">
        <x:v>Cosmetic-to-medium rehabs; allow slab/foundation, roof, HVAC, and higher property-tax drag.</x:v>
      </x:c>
      <x:c r="R16" s="28" t="str">
        <x:v>Medium</x:v>
      </x:c>
      <x:c r="S16" s="54" t="n">
        <x:v>28000</x:v>
      </x:c>
      <x:c r="T16" s="54" t="n">
        <x:v>45000</x:v>
      </x:c>
      <x:c r="U16" s="28" t="str">
        <x:v>https://www.airroi.com/airbnb-data/united-states/texas/san-antonio</x:v>
      </x:c>
      <x:c r="V16" s="28" t="str">
        <x:v>Medium</x:v>
      </x:c>
      <x:c r="W16" s="28" t="str">
        <x:v>Tourism and military/corporate demand support some STRs, but resale speed and regulation must be checked.</x:v>
      </x:c>
      <x:c r="X16" s="28" t="str">
        <x:v>https://www.redfin.com/city/16657/TX/San-Antonio/housing-market</x:v>
      </x:c>
      <x:c r="Y16" s="28" t="str">
        <x:v>Very slow resale and negative YoY movement warrant conservative entry basis.</x:v>
      </x:c>
    </x:row>
    <x:row r="17">
      <x:c r="A17" s="28" t="str">
        <x:v>Birmingham, AL</x:v>
      </x:c>
      <x:c r="B17" s="28" t="str">
        <x:v>Flip</x:v>
      </x:c>
      <x:c r="C17" s="54" t="n">
        <x:v>190000</x:v>
      </x:c>
      <x:c r="D17" s="56" t="n">
        <x:v>0.131</x:v>
      </x:c>
      <x:c r="E17" s="58" t="n">
        <x:v>56</x:v>
      </x:c>
      <x:c r="F17" s="28" t="str">
        <x:v>Normal</x:v>
      </x:c>
      <x:c r="G17" s="56" t="n">
        <x:v>0.67</x:v>
      </x:c>
      <x:c r="H17" s="56" t="n">
        <x:v>0.71</x:v>
      </x:c>
      <x:c r="I17" s="56" t="n">
        <x:v>0.0055</x:v>
      </x:c>
      <x:c r="J17" s="56" t="n">
        <x:v>0.008</x:v>
      </x:c>
      <x:c r="K17" s="54" t="n">
        <x:f>ROUND(C17*I17,-2)</x:f>
        <x:v>1000</x:v>
      </x:c>
      <x:c r="L17" s="54" t="n">
        <x:f>ROUND(C17*J17,-2)</x:f>
        <x:v>1500</x:v>
      </x:c>
      <x:c r="M17" s="54" t="n">
        <x:f>K17*6</x:f>
        <x:v>6000</x:v>
      </x:c>
      <x:c r="N17" s="54" t="n">
        <x:f>L17*6</x:f>
        <x:v>9000</x:v>
      </x:c>
      <x:c r="O17" s="58" t="n">
        <x:v>30</x:v>
      </x:c>
      <x:c r="P17" s="58" t="n">
        <x:v>70</x:v>
      </x:c>
      <x:c r="Q17" s="28" t="str">
        <x:v>Cosmetic-to-medium rehabs; older systems and neighborhood spread can dominate outcomes.</x:v>
      </x:c>
      <x:c r="R17" s="28" t="str">
        <x:v>Low-Medium</x:v>
      </x:c>
      <x:c r="S17" s="54" t="n">
        <x:v>20000</x:v>
      </x:c>
      <x:c r="T17" s="54" t="n">
        <x:v>33000</x:v>
      </x:c>
      <x:c r="U17" s="28" t="str">
        <x:v>https://www.airroi.com/airbnb-data/united-states/alabama/birmingham</x:v>
      </x:c>
      <x:c r="V17" s="28" t="str">
        <x:v>Medium</x:v>
      </x:c>
      <x:c r="W17" s="28" t="str">
        <x:v>Medical/event STR niches exist; primary underwriting should remain flip/LTR unless location is proven.</x:v>
      </x:c>
      <x:c r="X17" s="28" t="str">
        <x:v>https://www.redfin.com/city/1823/AL/Birmingham/housing-market</x:v>
      </x:c>
      <x:c r="Y17" s="28" t="str">
        <x:v>Affordable ARV and strong YoY signal support 70% range, but neighborhood liquidity matters.</x:v>
      </x:c>
    </x:row>
    <x:row r="18">
      <x:c r="A18" s="28" t="str">
        <x:v>Cleveland, OH</x:v>
      </x:c>
      <x:c r="B18" s="28" t="str">
        <x:v>Flip</x:v>
      </x:c>
      <x:c r="C18" s="54" t="n">
        <x:v>135000</x:v>
      </x:c>
      <x:c r="D18" s="56" t="n">
        <x:v>0.033</x:v>
      </x:c>
      <x:c r="E18" s="58" t="n">
        <x:v>33</x:v>
      </x:c>
      <x:c r="F18" s="28" t="str">
        <x:v>Fast</x:v>
      </x:c>
      <x:c r="G18" s="56" t="n">
        <x:v>0.68</x:v>
      </x:c>
      <x:c r="H18" s="56" t="n">
        <x:v>0.72</x:v>
      </x:c>
      <x:c r="I18" s="56" t="n">
        <x:v>0.0065</x:v>
      </x:c>
      <x:c r="J18" s="56" t="n">
        <x:v>0.0095</x:v>
      </x:c>
      <x:c r="K18" s="54" t="n">
        <x:f>ROUND(C18*I18,-2)</x:f>
        <x:v>900</x:v>
      </x:c>
      <x:c r="L18" s="54" t="n">
        <x:f>ROUND(C18*J18,-2)</x:f>
        <x:v>1300</x:v>
      </x:c>
      <x:c r="M18" s="54" t="n">
        <x:f>K18*6</x:f>
        <x:v>5400</x:v>
      </x:c>
      <x:c r="N18" s="54" t="n">
        <x:f>L18*6</x:f>
        <x:v>7800</x:v>
      </x:c>
      <x:c r="O18" s="58" t="n">
        <x:v>32</x:v>
      </x:c>
      <x:c r="P18" s="58" t="n">
        <x:v>75</x:v>
      </x:c>
      <x:c r="Q18" s="28" t="str">
        <x:v>Cosmetic-to-heavy risk despite low prices; budget MEP, roof, lead/paint, sewer, and winterization.</x:v>
      </x:c>
      <x:c r="R18" s="28" t="str">
        <x:v>Low-Medium</x:v>
      </x:c>
      <x:c r="S18" s="54" t="n">
        <x:v>21000</x:v>
      </x:c>
      <x:c r="T18" s="54" t="n">
        <x:v>36000</x:v>
      </x:c>
      <x:c r="U18" s="28" t="str">
        <x:v>https://www.airroi.com/airbnb-data/united-states/ohio/cleveland</x:v>
      </x:c>
      <x:c r="V18" s="28" t="str">
        <x:v>Medium</x:v>
      </x:c>
      <x:c r="W18" s="28" t="str">
        <x:v>Event/medical/corporate STR demand can work, but older housing stock and licensing need review.</x:v>
      </x:c>
      <x:c r="X18" s="28" t="str">
        <x:v>https://www.redfin.com/city/4145/OH/Cleveland/housing-market</x:v>
      </x:c>
      <x:c r="Y18" s="28" t="str">
        <x:v>Fast DOM supports rule; low ARV increases fixed-cost drag, so hold-cost percentage is elevated.</x:v>
      </x:c>
    </x:row>
    <x:row r="19">
      <x:c r="A19" s="28" t="str">
        <x:v>Pittsburgh, PA</x:v>
      </x:c>
      <x:c r="B19" s="28" t="str">
        <x:v>Flip</x:v>
      </x:c>
      <x:c r="C19" s="54" t="n">
        <x:v>240000</x:v>
      </x:c>
      <x:c r="D19" s="56" t="n">
        <x:v>0.043</x:v>
      </x:c>
      <x:c r="E19" s="58" t="n">
        <x:v>103</x:v>
      </x:c>
      <x:c r="F19" s="28" t="str">
        <x:v>Very slow</x:v>
      </x:c>
      <x:c r="G19" s="56" t="n">
        <x:v>0.63</x:v>
      </x:c>
      <x:c r="H19" s="56" t="n">
        <x:v>0.67</x:v>
      </x:c>
      <x:c r="I19" s="56" t="n">
        <x:v>0.006</x:v>
      </x:c>
      <x:c r="J19" s="56" t="n">
        <x:v>0.009</x:v>
      </x:c>
      <x:c r="K19" s="54" t="n">
        <x:f>ROUND(C19*I19,-2)</x:f>
        <x:v>1400</x:v>
      </x:c>
      <x:c r="L19" s="54" t="n">
        <x:f>ROUND(C19*J19,-2)</x:f>
        <x:v>2200</x:v>
      </x:c>
      <x:c r="M19" s="54" t="n">
        <x:f>K19*6</x:f>
        <x:v>8400</x:v>
      </x:c>
      <x:c r="N19" s="54" t="n">
        <x:f>L19*6</x:f>
        <x:v>13200</x:v>
      </x:c>
      <x:c r="O19" s="58" t="n">
        <x:v>35</x:v>
      </x:c>
      <x:c r="P19" s="58" t="n">
        <x:v>80</x:v>
      </x:c>
      <x:c r="Q19" s="28" t="str">
        <x:v>Medium rehabs; budget older housing systems, roof, masonry, slopes, and inspection risk.</x:v>
      </x:c>
      <x:c r="R19" s="28" t="str">
        <x:v>Low-Medium</x:v>
      </x:c>
      <x:c r="S19" s="54" t="n">
        <x:v>25000</x:v>
      </x:c>
      <x:c r="T19" s="54" t="n">
        <x:v>42000</x:v>
      </x:c>
      <x:c r="U19" s="28" t="str">
        <x:v>https://www.airroi.com/airbnb-data/united-states/pennsylvania/pittsburgh</x:v>
      </x:c>
      <x:c r="V19" s="28" t="str">
        <x:v>Medium</x:v>
      </x:c>
      <x:c r="W19" s="28" t="str">
        <x:v>STR works near hospitals, universities, events; long DOM keeps flip underwriting conservative.</x:v>
      </x:c>
      <x:c r="X19" s="28" t="str">
        <x:v>https://www.redfin.com/city/15702/PA/Pittsburgh/housing-market</x:v>
      </x:c>
      <x:c r="Y19" s="28" t="str">
        <x:v>Very slow DOM compresses ARV rule despite affordable entry points.</x:v>
      </x:c>
    </x:row>
    <x:row r="20">
      <x:c r="A20" s="28" t="str">
        <x:v>Denver, CO</x:v>
      </x:c>
      <x:c r="B20" s="28" t="str">
        <x:v>Flip + STR Crossover</x:v>
      </x:c>
      <x:c r="C20" s="54" t="n">
        <x:v>630000</x:v>
      </x:c>
      <x:c r="D20" s="56" t="n">
        <x:v>0.05</x:v>
      </x:c>
      <x:c r="E20" s="58" t="n">
        <x:v>19</x:v>
      </x:c>
      <x:c r="F20" s="28" t="str">
        <x:v>Fast</x:v>
      </x:c>
      <x:c r="G20" s="56" t="n">
        <x:v>0.7</x:v>
      </x:c>
      <x:c r="H20" s="56" t="n">
        <x:v>0.73</x:v>
      </x:c>
      <x:c r="I20" s="56" t="n">
        <x:v>0.006</x:v>
      </x:c>
      <x:c r="J20" s="56" t="n">
        <x:v>0.0088</x:v>
      </x:c>
      <x:c r="K20" s="54" t="n">
        <x:f>ROUND(C20*I20,-2)</x:f>
        <x:v>3800</x:v>
      </x:c>
      <x:c r="L20" s="54" t="n">
        <x:f>ROUND(C20*J20,-2)</x:f>
        <x:v>5500</x:v>
      </x:c>
      <x:c r="M20" s="54" t="n">
        <x:f>K20*6</x:f>
        <x:v>22800</x:v>
      </x:c>
      <x:c r="N20" s="54" t="n">
        <x:f>L20*6</x:f>
        <x:v>33000</x:v>
      </x:c>
      <x:c r="O20" s="58" t="n">
        <x:v>55</x:v>
      </x:c>
      <x:c r="P20" s="58" t="n">
        <x:v>115</x:v>
      </x:c>
      <x:c r="Q20" s="28" t="str">
        <x:v>Medium-to-heavy rehabs; higher labor, permit, winterization, and finish-expectation costs.</x:v>
      </x:c>
      <x:c r="R20" s="28" t="str">
        <x:v>Medium</x:v>
      </x:c>
      <x:c r="S20" s="54" t="n">
        <x:v>30000</x:v>
      </x:c>
      <x:c r="T20" s="54" t="n">
        <x:v>52000</x:v>
      </x:c>
      <x:c r="U20" s="28" t="str">
        <x:v>https://www.airroi.com/airbnb-data/united-states/colorado/denver</x:v>
      </x:c>
      <x:c r="V20" s="28" t="str">
        <x:v>Medium</x:v>
      </x:c>
      <x:c r="W20" s="28" t="str">
        <x:v>Fast flip market with select STR/corporate demand; licensing and HOA restrictions can be decisive.</x:v>
      </x:c>
      <x:c r="X20" s="28" t="str">
        <x:v>https://www.redfin.com/city/5155/CO/Denver/housing-market</x:v>
      </x:c>
      <x:c r="Y20" s="28" t="str">
        <x:v>Added market. Redfin March 2026 median sale price $630K, +5.0% YoY, homes sell in about 19 days; strong speed supports upper rule but high labor costs limit aggression.</x:v>
      </x:c>
    </x:row>
    <x:row r="21">
      <x:c r="A21" s="28" t="str">
        <x:v>Austin, TX</x:v>
      </x:c>
      <x:c r="B21" s="28" t="str">
        <x:v>Flip + STR Crossover</x:v>
      </x:c>
      <x:c r="C21" s="54" t="n">
        <x:v>530000</x:v>
      </x:c>
      <x:c r="D21" s="56" t="n">
        <x:v>-0.022</x:v>
      </x:c>
      <x:c r="E21" s="58" t="n">
        <x:v>58</x:v>
      </x:c>
      <x:c r="F21" s="28" t="str">
        <x:v>Normal/Soft</x:v>
      </x:c>
      <x:c r="G21" s="56" t="n">
        <x:v>0.64</x:v>
      </x:c>
      <x:c r="H21" s="56" t="n">
        <x:v>0.68</x:v>
      </x:c>
      <x:c r="I21" s="56" t="n">
        <x:v>0.0065</x:v>
      </x:c>
      <x:c r="J21" s="56" t="n">
        <x:v>0.0095</x:v>
      </x:c>
      <x:c r="K21" s="54" t="n">
        <x:f>ROUND(C21*I21,-2)</x:f>
        <x:v>3400</x:v>
      </x:c>
      <x:c r="L21" s="54" t="n">
        <x:f>ROUND(C21*J21,-2)</x:f>
        <x:v>5000</x:v>
      </x:c>
      <x:c r="M21" s="54" t="n">
        <x:f>K21*6</x:f>
        <x:v>20400</x:v>
      </x:c>
      <x:c r="N21" s="54" t="n">
        <x:f>L21*6</x:f>
        <x:v>30000</x:v>
      </x:c>
      <x:c r="O21" s="58" t="n">
        <x:v>50</x:v>
      </x:c>
      <x:c r="P21" s="58" t="n">
        <x:v>105</x:v>
      </x:c>
      <x:c r="Q21" s="28" t="str">
        <x:v>Medium-to-heavy rehabs; high taxes, insurance, and recent price softness require larger margin.</x:v>
      </x:c>
      <x:c r="R21" s="28" t="str">
        <x:v>Medium</x:v>
      </x:c>
      <x:c r="S21" s="54" t="n">
        <x:v>33000</x:v>
      </x:c>
      <x:c r="T21" s="54" t="n">
        <x:v>55000</x:v>
      </x:c>
      <x:c r="U21" s="28" t="str">
        <x:v>https://www.airroi.com/airbnb-data/united-states/texas/austin</x:v>
      </x:c>
      <x:c r="V21" s="28" t="str">
        <x:v>Medium</x:v>
      </x:c>
      <x:c r="W21" s="28" t="str">
        <x:v>Corporate/event STR demand exists; verify operating licenses, neighborhood restrictions, and supply pressure.</x:v>
      </x:c>
      <x:c r="X21" s="28" t="str">
        <x:v>https://www.redfin.com/city/30818/TX/Austin/housing-market</x:v>
      </x:c>
      <x:c r="Y21" s="28" t="str">
        <x:v>Added market. Redfin March 2026 median sale price $530K, -2.2% YoY, about 58 DOM; rule is discounted for softness and Texas carry costs.</x:v>
      </x:c>
    </x:row>
    <x:row r="22">
      <x:c r="A22" s="28" t="str">
        <x:v>Raleigh, NC</x:v>
      </x:c>
      <x:c r="B22" s="28" t="str">
        <x:v>Flip + STR Crossover</x:v>
      </x:c>
      <x:c r="C22" s="54" t="n">
        <x:v>420000</x:v>
      </x:c>
      <x:c r="D22" s="56" t="n">
        <x:v>-0.014</x:v>
      </x:c>
      <x:c r="E22" s="58" t="n">
        <x:v>43</x:v>
      </x:c>
      <x:c r="F22" s="28" t="str">
        <x:v>Normal</x:v>
      </x:c>
      <x:c r="G22" s="56" t="n">
        <x:v>0.67</x:v>
      </x:c>
      <x:c r="H22" s="56" t="n">
        <x:v>0.7</x:v>
      </x:c>
      <x:c r="I22" s="56" t="n">
        <x:v>0.0058</x:v>
      </x:c>
      <x:c r="J22" s="56" t="n">
        <x:v>0.0085</x:v>
      </x:c>
      <x:c r="K22" s="54" t="n">
        <x:f>ROUND(C22*I22,-2)</x:f>
        <x:v>2400</x:v>
      </x:c>
      <x:c r="L22" s="54" t="n">
        <x:f>ROUND(C22*J22,-2)</x:f>
        <x:v>3600</x:v>
      </x:c>
      <x:c r="M22" s="54" t="n">
        <x:f>K22*6</x:f>
        <x:v>14400</x:v>
      </x:c>
      <x:c r="N22" s="54" t="n">
        <x:f>L22*6</x:f>
        <x:v>21600</x:v>
      </x:c>
      <x:c r="O22" s="58" t="n">
        <x:v>42</x:v>
      </x:c>
      <x:c r="P22" s="58" t="n">
        <x:v>88</x:v>
      </x:c>
      <x:c r="Q22" s="28" t="str">
        <x:v>Cosmetic-to-medium rehabs; buyer demand is healthy but ARV discipline matters after modest YoY softness.</x:v>
      </x:c>
      <x:c r="R22" s="28" t="str">
        <x:v>Medium</x:v>
      </x:c>
      <x:c r="S22" s="54" t="n">
        <x:v>27000</x:v>
      </x:c>
      <x:c r="T22" s="54" t="n">
        <x:v>43000</x:v>
      </x:c>
      <x:c r="U22" s="28" t="str">
        <x:v>https://www.airroi.com/airbnb-data/united-states/north-carolina/raleigh</x:v>
      </x:c>
      <x:c r="V22" s="28" t="str">
        <x:v>Medium</x:v>
      </x:c>
      <x:c r="W22" s="28" t="str">
        <x:v>Business, university, medical, and event demand can support STRs in specific nodes.</x:v>
      </x:c>
      <x:c r="X22" s="28" t="str">
        <x:v>https://www.redfin.com/city/35711/NC/Raleigh/housing-market</x:v>
      </x:c>
      <x:c r="Y22" s="28" t="str">
        <x:v>Added market. Redfin March 2026 median sale price $420K, -1.4% YoY, about 43 DOM; near-baseline 70% rule with modest softness discount.</x:v>
      </x:c>
    </x:row>
    <x:row r="23">
      <x:c r="A23" s="28" t="str">
        <x:v>Chattanooga, TN</x:v>
      </x:c>
      <x:c r="B23" s="28" t="str">
        <x:v>Flip + STR Crossover</x:v>
      </x:c>
      <x:c r="C23" s="54" t="n">
        <x:v>350000</x:v>
      </x:c>
      <x:c r="D23" s="56" t="n">
        <x:v>0.029</x:v>
      </x:c>
      <x:c r="E23" s="58" t="n">
        <x:v>38</x:v>
      </x:c>
      <x:c r="F23" s="28" t="str">
        <x:v>Fast/Normal</x:v>
      </x:c>
      <x:c r="G23" s="56" t="n">
        <x:v>0.69</x:v>
      </x:c>
      <x:c r="H23" s="56" t="n">
        <x:v>0.72</x:v>
      </x:c>
      <x:c r="I23" s="56" t="n">
        <x:v>0.0058</x:v>
      </x:c>
      <x:c r="J23" s="56" t="n">
        <x:v>0.0085</x:v>
      </x:c>
      <x:c r="K23" s="54" t="n">
        <x:f>ROUND(C23*I23,-2)</x:f>
        <x:v>2000</x:v>
      </x:c>
      <x:c r="L23" s="54" t="n">
        <x:f>ROUND(C23*J23,-2)</x:f>
        <x:v>3000</x:v>
      </x:c>
      <x:c r="M23" s="54" t="n">
        <x:f>K23*6</x:f>
        <x:v>12000</x:v>
      </x:c>
      <x:c r="N23" s="54" t="n">
        <x:f>L23*6</x:f>
        <x:v>18000</x:v>
      </x:c>
      <x:c r="O23" s="58" t="n">
        <x:v>38</x:v>
      </x:c>
      <x:c r="P23" s="58" t="n">
        <x:v>85</x:v>
      </x:c>
      <x:c r="Q23" s="28" t="str">
        <x:v>Cosmetic-to-medium rehabs; hillside, older-stock, roof, and tourist-finish premiums need property-level review.</x:v>
      </x:c>
      <x:c r="R23" s="28" t="str">
        <x:v>High</x:v>
      </x:c>
      <x:c r="S23" s="54" t="n">
        <x:v>27300</x:v>
      </x:c>
      <x:c r="T23" s="54" t="n">
        <x:v>39000</x:v>
      </x:c>
      <x:c r="U23" s="28" t="str">
        <x:v>https://www.airroi.com/airbnb-data/united-states/tennessee/chattanooga</x:v>
      </x:c>
      <x:c r="V23" s="28" t="str">
        <x:v>Medium-High</x:v>
      </x:c>
      <x:c r="W23" s="28" t="str">
        <x:v>Added as both flip and STR. Outdoor/tourism demand supports STR, while fast resale supports flip; verify zoning and permit rules.</x:v>
      </x:c>
      <x:c r="X23" s="28" t="str">
        <x:v>https://www.redfin.com/city/3641/TN/Chattanooga/housing-market</x:v>
      </x:c>
      <x:c r="Y23" s="28" t="str">
        <x:v>Added market. Redfin shows median sale price around $350K, +2.9% YoY, and homes selling in about 38 days; STR range reconciles AirROI/Rabbu/GetChalet/Airbtics.</x:v>
      </x:c>
    </x:row>
    <x:row r="24">
      <x:c r="A24" s="28" t="str">
        <x:v>Scottsdale, AZ</x:v>
      </x:c>
      <x:c r="B24" s="28" t="str">
        <x:v>Flip + STR Crossover</x:v>
      </x:c>
      <x:c r="C24" s="54" t="n">
        <x:v>965000</x:v>
      </x:c>
      <x:c r="D24" s="56" t="n">
        <x:v>0.097</x:v>
      </x:c>
      <x:c r="E24" s="58" t="n">
        <x:v>58</x:v>
      </x:c>
      <x:c r="F24" s="28" t="str">
        <x:v>Normal/Luxury</x:v>
      </x:c>
      <x:c r="G24" s="56" t="n">
        <x:v>0.63</x:v>
      </x:c>
      <x:c r="H24" s="56" t="n">
        <x:v>0.67</x:v>
      </x:c>
      <x:c r="I24" s="56" t="n">
        <x:v>0.0068</x:v>
      </x:c>
      <x:c r="J24" s="56" t="n">
        <x:v>0.01</x:v>
      </x:c>
      <x:c r="K24" s="54" t="n">
        <x:f>ROUND(C24*I24,-2)</x:f>
        <x:v>6600</x:v>
      </x:c>
      <x:c r="L24" s="54" t="n">
        <x:f>ROUND(C24*J24,-2)</x:f>
        <x:v>9700</x:v>
      </x:c>
      <x:c r="M24" s="54" t="n">
        <x:f>K24*6</x:f>
        <x:v>39600</x:v>
      </x:c>
      <x:c r="N24" s="54" t="n">
        <x:f>L24*6</x:f>
        <x:v>58200</x:v>
      </x:c>
      <x:c r="O24" s="58" t="n">
        <x:v>65</x:v>
      </x:c>
      <x:c r="P24" s="58" t="n">
        <x:v>140</x:v>
      </x:c>
      <x:c r="Q24" s="28" t="str">
        <x:v>Luxury/high-finish rehabs; pools, landscaping, roofs, HVAC, and buyer finish expectations can move costs sharply.</x:v>
      </x:c>
      <x:c r="R24" s="28" t="str">
        <x:v>High</x:v>
      </x:c>
      <x:c r="S24" s="54" t="n">
        <x:v>48000</x:v>
      </x:c>
      <x:c r="T24" s="54" t="n">
        <x:v>80000</x:v>
      </x:c>
      <x:c r="U24" s="28" t="str">
        <x:v>https://www.airroi.com/airbnb-data/united-states/arizona/scottsdale</x:v>
      </x:c>
      <x:c r="V24" s="28" t="str">
        <x:v>High</x:v>
      </x:c>
      <x:c r="W24" s="28" t="str">
        <x:v>Added to Flip sheet because it is a clear crossover market; STR rules, HOA limits, seasonal ADR, and luxury finish levels dominate underwriting.</x:v>
      </x:c>
      <x:c r="X24" s="28" t="str">
        <x:v>https://www.redfin.com/city/16660/AZ/Scottsdale/housing-market</x:v>
      </x:c>
      <x:c r="Y24" s="28" t="str">
        <x:v>Added crossover. Redfin March 2026 median sale price $965K, +9.7% YoY, about 58 DOM; high ARV/luxury finish risk keeps ARV rule conservative.</x:v>
      </x:c>
    </x:row>
  </x:sheetData>
  <x:mergeCells>
    <x:mergeCell ref="A1:Y1"/>
  </x:mergeCells>
  <x:pageMargins left="0.7" right="0.7" top="0.75" bottom="0.75" header="0.3" footer="0.3"/>
  <x:tableParts count="1">
    <x:tablePart xmlns:r="http://schemas.openxmlformats.org/officeDocument/2006/relationships" r:id="R475ab94ce63346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0" hidden="0" customWidth="1"/>
    <x:col min="10" max="10" width="10" hidden="0" customWidth="1"/>
    <x:col min="11" max="11" width="12" hidden="0" customWidth="1"/>
    <x:col min="12" max="12" width="52" hidden="0" customWidth="1"/>
    <x:col min="13" max="13" width="14" hidden="0" customWidth="1"/>
    <x:col min="14" max="14" width="14" hidden="0" customWidth="1"/>
    <x:col min="15" max="15" width="52" hidden="0" customWidth="1"/>
    <x:col min="16" max="16" width="60" hidden="0" customWidth="1"/>
    <x:col min="17" max="17" width="52" hidden="0" customWidth="1"/>
    <x:col min="18" max="18" width="52" hidden="0" customWidth="1"/>
    <x:col min="19" max="19" width="52" hidden="0" customWidth="1"/>
    <x:col min="20" max="20" width="70" hidden="0" customWidth="1"/>
    <x:col min="21" max="21" width="14" hidden="0" customWidth="1"/>
  </x:cols>
  <x:sheetData>
    <x:row r="1" ht="26" customHeight="1">
      <x:c r="A1" s="5" t="str">
        <x:v>STR Benchmarks - Gross Revenue, Occupancy, ADR, Make-Ready, and Regulatory Risk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39" t="str">
        <x:v>Monthly gross columns are formula-driven from annual gross ranges. Revenue is gross booking revenue before platform fees, management, cleaning splits, taxes, insurance, utilities, maintenance, and reserves.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</x:row>
    <x:row r="3">
      <x:c r="A3"/>
    </x:row>
    <x:row r="4" ht="40" customHeight="1">
      <x:c r="A4" s="64" t="str">
        <x:v>Market</x:v>
      </x:c>
      <x:c r="B4" s="64" t="str">
        <x:v>Proxy / Scope</x:v>
      </x:c>
      <x:c r="C4" s="64" t="str">
        <x:v>Annual Gross Revenue Low</x:v>
      </x:c>
      <x:c r="D4" s="64" t="str">
        <x:v>Annual Gross Revenue High</x:v>
      </x:c>
      <x:c r="E4" s="64" t="str">
        <x:v>Monthly Gross Low</x:v>
      </x:c>
      <x:c r="F4" s="64" t="str">
        <x:v>Monthly Gross High</x:v>
      </x:c>
      <x:c r="G4" s="64" t="str">
        <x:v>Occupancy Low</x:v>
      </x:c>
      <x:c r="H4" s="64" t="str">
        <x:v>Occupancy High</x:v>
      </x:c>
      <x:c r="I4" s="64" t="str">
        <x:v>ADR Low</x:v>
      </x:c>
      <x:c r="J4" s="64" t="str">
        <x:v>ADR High</x:v>
      </x:c>
      <x:c r="K4" s="64" t="str">
        <x:v>Source Count</x:v>
      </x:c>
      <x:c r="L4" s="64" t="str">
        <x:v>Benchmark Note</x:v>
      </x:c>
      <x:c r="M4" s="64" t="str">
        <x:v>STR Make-Ready Low $/SF</x:v>
      </x:c>
      <x:c r="N4" s="64" t="str">
        <x:v>STR Make-Ready High $/SF</x:v>
      </x:c>
      <x:c r="O4" s="64" t="str">
        <x:v>Furnishing / FF&amp;E Guideline</x:v>
      </x:c>
      <x:c r="P4" s="64" t="str">
        <x:v>Regulatory Risk</x:v>
      </x:c>
      <x:c r="Q4" s="64" t="str">
        <x:v>Source 1 URL</x:v>
      </x:c>
      <x:c r="R4" s="64" t="str">
        <x:v>Source 2 URL</x:v>
      </x:c>
      <x:c r="S4" s="64" t="str">
        <x:v>Source 3 URL</x:v>
      </x:c>
      <x:c r="T4" s="64" t="str">
        <x:v>Source Notes</x:v>
      </x:c>
      <x:c r="U4" s="64" t="str">
        <x:v>Confidence</x:v>
      </x:c>
    </x:row>
    <x:row r="5">
      <x:c r="A5" s="28" t="str">
        <x:v>Myrtle Beach / Ocean Lakes, SC</x:v>
      </x:c>
      <x:c r="B5" s="28" t="str">
        <x:v>Myrtle Beach + Ocean Lakes family/campground beach rental proxy</x:v>
      </x:c>
      <x:c r="C5" s="54" t="n">
        <x:v>26000</x:v>
      </x:c>
      <x:c r="D5" s="54" t="n">
        <x:v>42000</x:v>
      </x:c>
      <x:c r="E5" s="54" t="n">
        <x:f>ROUND(C5/12,0)</x:f>
        <x:v>2167</x:v>
      </x:c>
      <x:c r="F5" s="54" t="n">
        <x:f>ROUND(D5/12,0)</x:f>
        <x:v>3500</x:v>
      </x:c>
      <x:c r="G5" s="56" t="n">
        <x:v>0.38</x:v>
      </x:c>
      <x:c r="H5" s="56" t="n">
        <x:v>0.63</x:v>
      </x:c>
      <x:c r="I5" s="54" t="n">
        <x:v>248</x:v>
      </x:c>
      <x:c r="J5" s="54" t="n">
        <x:v>269</x:v>
      </x:c>
      <x:c r="K5" s="28" t="n">
        <x:v>4</x:v>
      </x:c>
      <x:c r="L5" s="28" t="str">
        <x:v>Beach STR with heavy seasonality; Ocean Lakes performance depends on lot/home quality and amenity access.</x:v>
      </x:c>
      <x:c r="M5" s="58" t="n">
        <x:v>40</x:v>
      </x:c>
      <x:c r="N5" s="58" t="n">
        <x:v>95</x:v>
      </x:c>
      <x:c r="O5" s="28" t="str">
        <x:v>$10K-$25K baseline; increase for golf-cart, outdoor living, bunk/game-room, and beach durability package.</x:v>
      </x:c>
      <x:c r="P5" s="28" t="str">
        <x:v>Medium: confirm community rules, Horry County/city license, flood/wind insurance, and HOA/campground policies.</x:v>
      </x:c>
      <x:c r="Q5" s="28" t="str">
        <x:v>https://www.airdna.co/vacation-rental-data/app/us/south-carolina/myrtle-beach/overview</x:v>
      </x:c>
      <x:c r="R5" s="28" t="str">
        <x:v>https://www.airroi.com/airbnb-data/united-states/south-carolina/myrtle-beach</x:v>
      </x:c>
      <x:c r="S5" s="28" t="str">
        <x:v>https://rabbu.com/airbnb-data/myrtle-beach-sc</x:v>
      </x:c>
      <x:c r="T5" s="28" t="str">
        <x:v>Existing benchmark reconciled across STR providers; property type varies widely.</x:v>
      </x:c>
      <x:c r="U5" s="28" t="str">
        <x:v>Medium</x:v>
      </x:c>
    </x:row>
    <x:row r="6">
      <x:c r="A6" s="28" t="str">
        <x:v>Gatlinburg, TN</x:v>
      </x:c>
      <x:c r="B6" s="28" t="str">
        <x:v>Cabin STR market</x:v>
      </x:c>
      <x:c r="C6" s="54" t="n">
        <x:v>48000</x:v>
      </x:c>
      <x:c r="D6" s="54" t="n">
        <x:v>64000</x:v>
      </x:c>
      <x:c r="E6" s="54" t="n">
        <x:f>ROUND(C6/12,0)</x:f>
        <x:v>4000</x:v>
      </x:c>
      <x:c r="F6" s="54" t="n">
        <x:f>ROUND(D6/12,0)</x:f>
        <x:v>5333</x:v>
      </x:c>
      <x:c r="G6" s="56" t="n">
        <x:v>0.44</x:v>
      </x:c>
      <x:c r="H6" s="56" t="n">
        <x:v>0.65</x:v>
      </x:c>
      <x:c r="I6" s="54" t="n">
        <x:v>347</x:v>
      </x:c>
      <x:c r="J6" s="54" t="n">
        <x:v>366</x:v>
      </x:c>
      <x:c r="K6" s="28" t="n">
        <x:v>4</x:v>
      </x:c>
      <x:c r="L6" s="28" t="str">
        <x:v>High-demand Smoky Mountain cabin market; hot tubs, views, game rooms, and bedroom count drive spread.</x:v>
      </x:c>
      <x:c r="M6" s="58" t="n">
        <x:v>45</x:v>
      </x:c>
      <x:c r="N6" s="58" t="n">
        <x:v>110</x:v>
      </x:c>
      <x:c r="O6" s="28" t="str">
        <x:v>$15K-$40K+ depending on cabin size; budget hot tub, deck, game-room, bear-proof trash, and replacement reserves.</x:v>
      </x:c>
      <x:c r="P6" s="28" t="str">
        <x:v>Low-Medium: verify county/city permits, fire/safety, well/septic, roads, and HOA restrictions.</x:v>
      </x:c>
      <x:c r="Q6" s="28" t="str">
        <x:v>https://www.airroi.com/airbnb-data/united-states/tennessee/gatlinburg</x:v>
      </x:c>
      <x:c r="R6" s="28" t="str">
        <x:v>https://rabbu.com/airbnb-data/gatlinburg-tn</x:v>
      </x:c>
      <x:c r="S6" s="28" t="str">
        <x:v>https://www.airdna.co/vacation-rental-data/app/us/tennessee/gatlinburg/overview</x:v>
      </x:c>
      <x:c r="T6" s="28" t="str">
        <x:v>Existing benchmark from multi-source market averages.</x:v>
      </x:c>
      <x:c r="U6" s="28" t="str">
        <x:v>High</x:v>
      </x:c>
    </x:row>
    <x:row r="7">
      <x:c r="A7" s="28" t="str">
        <x:v>Pigeon Forge, TN</x:v>
      </x:c>
      <x:c r="B7" s="28" t="str">
        <x:v>Cabin STR market</x:v>
      </x:c>
      <x:c r="C7" s="54" t="n">
        <x:v>45000</x:v>
      </x:c>
      <x:c r="D7" s="54" t="n">
        <x:v>59000</x:v>
      </x:c>
      <x:c r="E7" s="54" t="n">
        <x:f>ROUND(C7/12,0)</x:f>
        <x:v>3750</x:v>
      </x:c>
      <x:c r="F7" s="54" t="n">
        <x:f>ROUND(D7/12,0)</x:f>
        <x:v>4917</x:v>
      </x:c>
      <x:c r="G7" s="56" t="n">
        <x:v>0.44</x:v>
      </x:c>
      <x:c r="H7" s="56" t="n">
        <x:v>0.65</x:v>
      </x:c>
      <x:c r="I7" s="54" t="n">
        <x:v>336</x:v>
      </x:c>
      <x:c r="J7" s="54" t="n">
        <x:v>352</x:v>
      </x:c>
      <x:c r="K7" s="28" t="n">
        <x:v>4</x:v>
      </x:c>
      <x:c r="L7" s="28" t="str">
        <x:v>Cabin-heavy tourism market; family amenities and attraction proximity matter.</x:v>
      </x:c>
      <x:c r="M7" s="58" t="n">
        <x:v>45</x:v>
      </x:c>
      <x:c r="N7" s="58" t="n">
        <x:v>110</x:v>
      </x:c>
      <x:c r="O7" s="28" t="str">
        <x:v>$15K-$40K+ depending on bedroom count and amenity package.</x:v>
      </x:c>
      <x:c r="P7" s="28" t="str">
        <x:v>Low-Medium: verify permits, HOA, fire/safety, and cabin road/maintenance risk.</x:v>
      </x:c>
      <x:c r="Q7" s="28" t="str">
        <x:v>https://www.airroi.com/airbnb-data/united-states/tennessee/pigeon-forge</x:v>
      </x:c>
      <x:c r="R7" s="28" t="str">
        <x:v>https://rabbu.com/airbnb-data/pigeon-forge-tn</x:v>
      </x:c>
      <x:c r="S7" s="28" t="str">
        <x:v>https://www.airdna.co/vacation-rental-data/app/us/tennessee/pigeon-forge/overview</x:v>
      </x:c>
      <x:c r="T7" s="28" t="str">
        <x:v>Existing benchmark from multi-source market averages.</x:v>
      </x:c>
      <x:c r="U7" s="28" t="str">
        <x:v>High</x:v>
      </x:c>
    </x:row>
    <x:row r="8">
      <x:c r="A8" s="28" t="str">
        <x:v>Smoky Mountains, TN</x:v>
      </x:c>
      <x:c r="B8" s="28" t="str">
        <x:v>Sevierville/greater Smoky Mountain proxy</x:v>
      </x:c>
      <x:c r="C8" s="54" t="n">
        <x:v>49000</x:v>
      </x:c>
      <x:c r="D8" s="54" t="n">
        <x:v>58000</x:v>
      </x:c>
      <x:c r="E8" s="54" t="n">
        <x:f>ROUND(C8/12,0)</x:f>
        <x:v>4083</x:v>
      </x:c>
      <x:c r="F8" s="54" t="n">
        <x:f>ROUND(D8/12,0)</x:f>
        <x:v>4833</x:v>
      </x:c>
      <x:c r="G8" s="56" t="n">
        <x:v>0.45</x:v>
      </x:c>
      <x:c r="H8" s="56" t="n">
        <x:v>0.58</x:v>
      </x:c>
      <x:c r="I8" s="54" t="n">
        <x:v>310</x:v>
      </x:c>
      <x:c r="J8" s="54" t="n">
        <x:v>385</x:v>
      </x:c>
      <x:c r="K8" s="28" t="n">
        <x:v>4</x:v>
      </x:c>
      <x:c r="L8" s="28" t="str">
        <x:v>Use as a regional proxy outside Gatlinburg/Pigeon Forge; exact cabin location, views, and road access matter.</x:v>
      </x:c>
      <x:c r="M8" s="58" t="n">
        <x:v>45</x:v>
      </x:c>
      <x:c r="N8" s="58" t="n">
        <x:v>115</x:v>
      </x:c>
      <x:c r="O8" s="28" t="str">
        <x:v>$15K-$45K+; increase for larger cabins, theater/game rooms, hot tubs, and mountain-road maintenance.</x:v>
      </x:c>
      <x:c r="P8" s="28" t="str">
        <x:v>Medium: county/city, HOA, septic, fire/safety, and access rules vary.</x:v>
      </x:c>
      <x:c r="Q8" s="28" t="str">
        <x:v>https://www.airroi.com/airbnb-data/united-states/tennessee/sevierville</x:v>
      </x:c>
      <x:c r="R8" s="28" t="str">
        <x:v>https://rabbu.com/airbnb-data/sevierville-tn</x:v>
      </x:c>
      <x:c r="S8" s="28" t="str">
        <x:v>https://www.airdna.co/vacation-rental-data/app/us/tennessee/sevierville/overview</x:v>
      </x:c>
      <x:c r="T8" s="28" t="str">
        <x:v>Regional proxy; underwriting should comp the exact resort/community.</x:v>
      </x:c>
      <x:c r="U8" s="28" t="str">
        <x:v>Medium-High</x:v>
      </x:c>
    </x:row>
    <x:row r="9">
      <x:c r="A9" s="28" t="str">
        <x:v>Lake Murray, SC</x:v>
      </x:c>
      <x:c r="B9" s="28" t="str">
        <x:v>Lake Murray / Lexington-Irmo-Chapin lakehouse proxy</x:v>
      </x:c>
      <x:c r="C9" s="54" t="n">
        <x:v>25000</x:v>
      </x:c>
      <x:c r="D9" s="54" t="n">
        <x:v>48000</x:v>
      </x:c>
      <x:c r="E9" s="54" t="n">
        <x:f>ROUND(C9/12,0)</x:f>
        <x:v>2083</x:v>
      </x:c>
      <x:c r="F9" s="54" t="n">
        <x:f>ROUND(D9/12,0)</x:f>
        <x:v>4000</x:v>
      </x:c>
      <x:c r="G9" s="56" t="n">
        <x:v>0.35</x:v>
      </x:c>
      <x:c r="H9" s="56" t="n">
        <x:v>0.55</x:v>
      </x:c>
      <x:c r="I9" s="54" t="n">
        <x:v>190</x:v>
      </x:c>
      <x:c r="J9" s="54" t="n">
        <x:v>290</x:v>
      </x:c>
      <x:c r="K9" s="28" t="n">
        <x:v>3</x:v>
      </x:c>
      <x:c r="L9" s="28" t="str">
        <x:v>Smaller lake STR market; lakefront, dock access, boatability, and Columbia access materially change ADR.</x:v>
      </x:c>
      <x:c r="M9" s="58" t="n">
        <x:v>35</x:v>
      </x:c>
      <x:c r="N9" s="58" t="n">
        <x:v>85</x:v>
      </x:c>
      <x:c r="O9" s="28" t="str">
        <x:v>$10K-$30K; increase for dock, outdoor furniture, lake-safety items, and durable furnishings.</x:v>
      </x:c>
      <x:c r="P9" s="28" t="str">
        <x:v>Medium: verify county/city STR rules, dock permits, septic, HOA, and waterfront insurance.</x:v>
      </x:c>
      <x:c r="Q9" s="28" t="str">
        <x:v>https://www.airdna.co/vacation-rental-data</x:v>
      </x:c>
      <x:c r="R9" s="28" t="str">
        <x:v>https://rabbu.com/airbnb-data</x:v>
      </x:c>
      <x:c r="S9" s="28" t="str">
        <x:v>https://www.airroi.com/airbnb-data</x:v>
      </x:c>
      <x:c r="T9" s="28" t="str">
        <x:v>Modeled from lake-proxy STR comps; lower confidence because public market pages are less standardized.</x:v>
      </x:c>
      <x:c r="U9" s="28" t="str">
        <x:v>Medium-Low</x:v>
      </x:c>
    </x:row>
    <x:row r="10">
      <x:c r="A10" s="28" t="str">
        <x:v>Destin, FL</x:v>
      </x:c>
      <x:c r="B10" s="28" t="str">
        <x:v>Destin / 30A beach STR proxy</x:v>
      </x:c>
      <x:c r="C10" s="54" t="n">
        <x:v>43000</x:v>
      </x:c>
      <x:c r="D10" s="54" t="n">
        <x:v>96000</x:v>
      </x:c>
      <x:c r="E10" s="54" t="n">
        <x:f>ROUND(C10/12,0)</x:f>
        <x:v>3583</x:v>
      </x:c>
      <x:c r="F10" s="54" t="n">
        <x:f>ROUND(D10/12,0)</x:f>
        <x:v>8000</x:v>
      </x:c>
      <x:c r="G10" s="56" t="n">
        <x:v>0.48</x:v>
      </x:c>
      <x:c r="H10" s="56" t="n">
        <x:v>0.65</x:v>
      </x:c>
      <x:c r="I10" s="54" t="n">
        <x:v>350</x:v>
      </x:c>
      <x:c r="J10" s="54" t="n">
        <x:v>500</x:v>
      </x:c>
      <x:c r="K10" s="28" t="n">
        <x:v>4</x:v>
      </x:c>
      <x:c r="L10" s="28" t="str">
        <x:v>High-volume beach market; revenue range is heavily bedroom-count and distance-to-beach dependent.</x:v>
      </x:c>
      <x:c r="M10" s="58" t="n">
        <x:v>50</x:v>
      </x:c>
      <x:c r="N10" s="58" t="n">
        <x:v>130</x:v>
      </x:c>
      <x:c r="O10" s="28" t="str">
        <x:v>$20K-$60K+; increase for beach-grade furnishings, linens, outdoor space, elevator/condo requirements, and large-bedroom properties.</x:v>
      </x:c>
      <x:c r="P10" s="28" t="str">
        <x:v>Medium: confirm city/county STR licensing, condo/HOA rules, flood/wind coverage, and tourist-tax registration.</x:v>
      </x:c>
      <x:c r="Q10" s="28" t="str">
        <x:v>https://www.theshorttermshop.com/blog/short-term-rental-data-analysis-in-destin-and-30a-fl</x:v>
      </x:c>
      <x:c r="R10" s="28" t="str">
        <x:v>https://www.airroi.com/airbnb-data/united-states/florida/destin</x:v>
      </x:c>
      <x:c r="S10" s="28" t="str">
        <x:v>https://rabbu.com/airbnb-data/destin-fl</x:v>
      </x:c>
      <x:c r="T10" s="28" t="str">
        <x:v>Existing benchmark uses bedroom-count data and STR provider averages.</x:v>
      </x:c>
      <x:c r="U10" s="28" t="str">
        <x:v>High</x:v>
      </x:c>
    </x:row>
    <x:row r="11">
      <x:c r="A11" s="28" t="str">
        <x:v>Blue Ridge, GA</x:v>
      </x:c>
      <x:c r="B11" s="28" t="str">
        <x:v>North Georgia cabin STR market</x:v>
      </x:c>
      <x:c r="C11" s="54" t="n">
        <x:v>49000</x:v>
      </x:c>
      <x:c r="D11" s="54" t="n">
        <x:v>76000</x:v>
      </x:c>
      <x:c r="E11" s="54" t="n">
        <x:f>ROUND(C11/12,0)</x:f>
        <x:v>4083</x:v>
      </x:c>
      <x:c r="F11" s="54" t="n">
        <x:f>ROUND(D11/12,0)</x:f>
        <x:v>6333</x:v>
      </x:c>
      <x:c r="G11" s="56" t="n">
        <x:v>0.45</x:v>
      </x:c>
      <x:c r="H11" s="56" t="n">
        <x:v>0.68</x:v>
      </x:c>
      <x:c r="I11" s="54" t="n">
        <x:v>260</x:v>
      </x:c>
      <x:c r="J11" s="54" t="n">
        <x:v>350</x:v>
      </x:c>
      <x:c r="K11" s="28" t="n">
        <x:v>4</x:v>
      </x:c>
      <x:c r="L11" s="28" t="str">
        <x:v>Cabin STR market; views, hot tub, game room, acreage, and road access drive performance.</x:v>
      </x:c>
      <x:c r="M11" s="58" t="n">
        <x:v>45</x:v>
      </x:c>
      <x:c r="N11" s="58" t="n">
        <x:v>115</x:v>
      </x:c>
      <x:c r="O11" s="28" t="str">
        <x:v>$15K-$45K+; budget hot tub, septic, deck, gravel road, bear/wildlife trash, and cabin finish upgrades.</x:v>
      </x:c>
      <x:c r="P11" s="28" t="str">
        <x:v>Medium: verify county STR registration, HOA/community rules, septic, well, and mountain-road maintenance.</x:v>
      </x:c>
      <x:c r="Q11" s="28" t="str">
        <x:v>https://www.airroi.com/airbnb-data/united-states/georgia/blue-ridge</x:v>
      </x:c>
      <x:c r="R11" s="28" t="str">
        <x:v>https://rabbu.com/airbnb-data/blue-ridge-ga</x:v>
      </x:c>
      <x:c r="S11" s="28" t="str">
        <x:v>https://www.airdna.co/vacation-rental-data/app/us/georgia/blue-ridge/overview</x:v>
      </x:c>
      <x:c r="T11" s="28" t="str">
        <x:v>Existing benchmark from cabin-market data providers.</x:v>
      </x:c>
      <x:c r="U11" s="28" t="str">
        <x:v>High</x:v>
      </x:c>
    </x:row>
    <x:row r="12">
      <x:c r="A12" s="28" t="str">
        <x:v>Outer Banks, NC</x:v>
      </x:c>
      <x:c r="B12" s="28" t="str">
        <x:v>OBX / Nags Head-Kill Devil Hills beach proxy</x:v>
      </x:c>
      <x:c r="C12" s="54" t="n">
        <x:v>42000</x:v>
      </x:c>
      <x:c r="D12" s="54" t="n">
        <x:v>95000</x:v>
      </x:c>
      <x:c r="E12" s="54" t="n">
        <x:f>ROUND(C12/12,0)</x:f>
        <x:v>3500</x:v>
      </x:c>
      <x:c r="F12" s="54" t="n">
        <x:f>ROUND(D12/12,0)</x:f>
        <x:v>7917</x:v>
      </x:c>
      <x:c r="G12" s="56" t="n">
        <x:v>0.3</x:v>
      </x:c>
      <x:c r="H12" s="56" t="n">
        <x:v>0.5</x:v>
      </x:c>
      <x:c r="I12" s="54" t="n">
        <x:v>300</x:v>
      </x:c>
      <x:c r="J12" s="54" t="n">
        <x:v>600</x:v>
      </x:c>
      <x:c r="K12" s="28" t="n">
        <x:v>4</x:v>
      </x:c>
      <x:c r="L12" s="28" t="str">
        <x:v>Highly seasonal coastal market; oceanfront, bedroom count, pool, elevator, and distance-to-beach drive spread.</x:v>
      </x:c>
      <x:c r="M12" s="58" t="n">
        <x:v>50</x:v>
      </x:c>
      <x:c r="N12" s="58" t="n">
        <x:v>140</x:v>
      </x:c>
      <x:c r="O12" s="28" t="str">
        <x:v>$25K-$75K+; increase for pool, elevator, beach durability, storm/flood mitigation, and large-house inventory.</x:v>
      </x:c>
      <x:c r="P12" s="28" t="str">
        <x:v>Medium-High: verify town ordinances, flood/wind insurance, septic, beach nourishment, and HOA/community rules.</x:v>
      </x:c>
      <x:c r="Q12" s="28" t="str">
        <x:v>https://www.airdna.co/vacation-rental-data/app/us/north-carolina/nags-head/overview</x:v>
      </x:c>
      <x:c r="R12" s="28" t="str">
        <x:v>https://rabbu.com/airbnb-data/nags-head-nc</x:v>
      </x:c>
      <x:c r="S12" s="28" t="str">
        <x:v>https://www.airroi.com/airbnb-data/united-states/north-carolina/nags-head</x:v>
      </x:c>
      <x:c r="T12" s="28" t="str">
        <x:v>Existing benchmark uses OBX proxy markets; strong property-level variation.</x:v>
      </x:c>
      <x:c r="U12" s="28" t="str">
        <x:v>Medium</x:v>
      </x:c>
    </x:row>
    <x:row r="13">
      <x:c r="A13" s="28" t="str">
        <x:v>Hilton Head, SC</x:v>
      </x:c>
      <x:c r="B13" s="28" t="str">
        <x:v>Hilton Head Island beach/golf STR market</x:v>
      </x:c>
      <x:c r="C13" s="54" t="n">
        <x:v>42000</x:v>
      </x:c>
      <x:c r="D13" s="54" t="n">
        <x:v>78000</x:v>
      </x:c>
      <x:c r="E13" s="54" t="n">
        <x:f>ROUND(C13/12,0)</x:f>
        <x:v>3500</x:v>
      </x:c>
      <x:c r="F13" s="54" t="n">
        <x:f>ROUND(D13/12,0)</x:f>
        <x:v>6500</x:v>
      </x:c>
      <x:c r="G13" s="56" t="n">
        <x:v>0.45</x:v>
      </x:c>
      <x:c r="H13" s="56" t="n">
        <x:v>0.65</x:v>
      </x:c>
      <x:c r="I13" s="54" t="n">
        <x:v>260</x:v>
      </x:c>
      <x:c r="J13" s="54" t="n">
        <x:v>400</x:v>
      </x:c>
      <x:c r="K13" s="28" t="n">
        <x:v>4</x:v>
      </x:c>
      <x:c r="L13" s="28" t="str">
        <x:v>Mature resort market; condo/villa community, beach access, resort fees, and HOA rules matter.</x:v>
      </x:c>
      <x:c r="M13" s="58" t="n">
        <x:v>45</x:v>
      </x:c>
      <x:c r="N13" s="58" t="n">
        <x:v>120</x:v>
      </x:c>
      <x:c r="O13" s="28" t="str">
        <x:v>$15K-$50K+; budget resort-grade furnishings, bikes/beach gear, HOA-compliant finishes, and humidity maintenance.</x:v>
      </x:c>
      <x:c r="P13" s="28" t="str">
        <x:v>Medium: verify town STR business license, HOA, flood/wind coverage, parking, and tourist taxes.</x:v>
      </x:c>
      <x:c r="Q13" s="28" t="str">
        <x:v>https://www.airroi.com/airbnb-data/united-states/south-carolina/hilton-head-island</x:v>
      </x:c>
      <x:c r="R13" s="28" t="str">
        <x:v>https://rabbu.com/airbnb-data/hilton-head-island-sc</x:v>
      </x:c>
      <x:c r="S13" s="28" t="str">
        <x:v>https://www.airdna.co/vacation-rental-data/app/us/south-carolina/hilton-head-island/overview</x:v>
      </x:c>
      <x:c r="T13" s="28" t="str">
        <x:v>Existing benchmark from resort-market data providers.</x:v>
      </x:c>
      <x:c r="U13" s="28" t="str">
        <x:v>Medium-High</x:v>
      </x:c>
    </x:row>
    <x:row r="14">
      <x:c r="A14" s="28" t="str">
        <x:v>Gulf Shores, AL</x:v>
      </x:c>
      <x:c r="B14" s="28" t="str">
        <x:v>Gulf Shores beach STR market</x:v>
      </x:c>
      <x:c r="C14" s="54" t="n">
        <x:v>42000</x:v>
      </x:c>
      <x:c r="D14" s="54" t="n">
        <x:v>70000</x:v>
      </x:c>
      <x:c r="E14" s="54" t="n">
        <x:f>ROUND(C14/12,0)</x:f>
        <x:v>3500</x:v>
      </x:c>
      <x:c r="F14" s="54" t="n">
        <x:f>ROUND(D14/12,0)</x:f>
        <x:v>5833</x:v>
      </x:c>
      <x:c r="G14" s="56" t="n">
        <x:v>0.4</x:v>
      </x:c>
      <x:c r="H14" s="56" t="n">
        <x:v>0.6</x:v>
      </x:c>
      <x:c r="I14" s="54" t="n">
        <x:v>280</x:v>
      </x:c>
      <x:c r="J14" s="54" t="n">
        <x:v>450</x:v>
      </x:c>
      <x:c r="K14" s="28" t="n">
        <x:v>4</x:v>
      </x:c>
      <x:c r="L14" s="28" t="str">
        <x:v>Beach STR market; condo building, beach distance, bedroom count, and snowbird/seasonality affect gross.</x:v>
      </x:c>
      <x:c r="M14" s="58" t="n">
        <x:v>45</x:v>
      </x:c>
      <x:c r="N14" s="58" t="n">
        <x:v>120</x:v>
      </x:c>
      <x:c r="O14" s="28" t="str">
        <x:v>$15K-$50K+; increase for coastal-durable furnishings, HOA requirements, linens, and outdoor/beach gear.</x:v>
      </x:c>
      <x:c r="P14" s="28" t="str">
        <x:v>Medium: verify city license, condo/HOA rules, flood/wind insurance, and lodging taxes.</x:v>
      </x:c>
      <x:c r="Q14" s="28" t="str">
        <x:v>https://www.airroi.com/airbnb-data/united-states/alabama/gulf-shores</x:v>
      </x:c>
      <x:c r="R14" s="28" t="str">
        <x:v>https://rabbu.com/airbnb-data/gulf-shores-al</x:v>
      </x:c>
      <x:c r="S14" s="28" t="str">
        <x:v>https://www.airdna.co/vacation-rental-data/app/us/alabama/gulf-shores/overview</x:v>
      </x:c>
      <x:c r="T14" s="28" t="str">
        <x:v>Existing benchmark from coastal STR providers.</x:v>
      </x:c>
      <x:c r="U14" s="28" t="str">
        <x:v>Medium-High</x:v>
      </x:c>
    </x:row>
    <x:row r="15">
      <x:c r="A15" s="28" t="str">
        <x:v>Scottsdale, AZ</x:v>
      </x:c>
      <x:c r="B15" s="28" t="str">
        <x:v>Scottsdale luxury/event/pool STR market</x:v>
      </x:c>
      <x:c r="C15" s="54" t="n">
        <x:v>48000</x:v>
      </x:c>
      <x:c r="D15" s="54" t="n">
        <x:v>80000</x:v>
      </x:c>
      <x:c r="E15" s="54" t="n">
        <x:f>ROUND(C15/12,0)</x:f>
        <x:v>4000</x:v>
      </x:c>
      <x:c r="F15" s="54" t="n">
        <x:f>ROUND(D15/12,0)</x:f>
        <x:v>6667</x:v>
      </x:c>
      <x:c r="G15" s="56" t="n">
        <x:v>0.42</x:v>
      </x:c>
      <x:c r="H15" s="56" t="n">
        <x:v>0.65</x:v>
      </x:c>
      <x:c r="I15" s="54" t="n">
        <x:v>300</x:v>
      </x:c>
      <x:c r="J15" s="54" t="n">
        <x:v>450</x:v>
      </x:c>
      <x:c r="K15" s="28" t="n">
        <x:v>4</x:v>
      </x:c>
      <x:c r="L15" s="28" t="str">
        <x:v>High-ADR crossover STR market; pool, design, outdoor entertainment, and event-season demand drive upside.</x:v>
      </x:c>
      <x:c r="M15" s="58" t="n">
        <x:v>60</x:v>
      </x:c>
      <x:c r="N15" s="58" t="n">
        <x:v>150</x:v>
      </x:c>
      <x:c r="O15" s="28" t="str">
        <x:v>$20K-$75K+; raise for pool, landscaping, design-forward furnishings, luxury linens, and outdoor amenities.</x:v>
      </x:c>
      <x:c r="P15" s="28" t="str">
        <x:v>Medium: verify city license, transaction privilege tax, nuisance/event restrictions, HOA, and pool safety.</x:v>
      </x:c>
      <x:c r="Q15" s="28" t="str">
        <x:v>https://www.airroi.com/airbnb-data/united-states/arizona/scottsdale</x:v>
      </x:c>
      <x:c r="R15" s="28" t="str">
        <x:v>https://rabbu.com/airbnb-data/scottsdale-az</x:v>
      </x:c>
      <x:c r="S15" s="28" t="str">
        <x:v>https://www.airdna.co/vacation-rental-data/app/us/arizona/scottsdale/overview</x:v>
      </x:c>
      <x:c r="T15" s="28" t="str">
        <x:v>Existing benchmark; also surfaced in Flip sheet as crossover.</x:v>
      </x:c>
      <x:c r="U15" s="28" t="str">
        <x:v>High</x:v>
      </x:c>
    </x:row>
    <x:row r="16">
      <x:c r="A16" s="28" t="str">
        <x:v>Branson, MO</x:v>
      </x:c>
      <x:c r="B16" s="28" t="str">
        <x:v>Branson lake/entertainment STR market</x:v>
      </x:c>
      <x:c r="C16" s="54" t="n">
        <x:v>28000</x:v>
      </x:c>
      <x:c r="D16" s="54" t="n">
        <x:v>52000</x:v>
      </x:c>
      <x:c r="E16" s="54" t="n">
        <x:f>ROUND(C16/12,0)</x:f>
        <x:v>2333</x:v>
      </x:c>
      <x:c r="F16" s="54" t="n">
        <x:f>ROUND(D16/12,0)</x:f>
        <x:v>4333</x:v>
      </x:c>
      <x:c r="G16" s="56" t="n">
        <x:v>0.4</x:v>
      </x:c>
      <x:c r="H16" s="56" t="n">
        <x:v>0.6</x:v>
      </x:c>
      <x:c r="I16" s="54" t="n">
        <x:v>160</x:v>
      </x:c>
      <x:c r="J16" s="54" t="n">
        <x:v>265</x:v>
      </x:c>
      <x:c r="K16" s="28" t="n">
        <x:v>4</x:v>
      </x:c>
      <x:c r="L16" s="28" t="str">
        <x:v>Affordable STR market; lake proximity, condo/resort amenities, and family attractions matter.</x:v>
      </x:c>
      <x:c r="M16" s="58" t="n">
        <x:v>35</x:v>
      </x:c>
      <x:c r="N16" s="58" t="n">
        <x:v>90</x:v>
      </x:c>
      <x:c r="O16" s="28" t="str">
        <x:v>$10K-$30K; budget durable family furnishings, pool/lake gear, and HOA-compliant setup.</x:v>
      </x:c>
      <x:c r="P16" s="28" t="str">
        <x:v>Medium: verify city/county STR permits, HOA, lake rules, and resort restrictions.</x:v>
      </x:c>
      <x:c r="Q16" s="28" t="str">
        <x:v>https://www.airroi.com/airbnb-data/united-states/missouri/branson</x:v>
      </x:c>
      <x:c r="R16" s="28" t="str">
        <x:v>https://rabbu.com/airbnb-data/branson-mo</x:v>
      </x:c>
      <x:c r="S16" s="28" t="str">
        <x:v>https://www.airdna.co/vacation-rental-data/app/us/missouri/branson/overview</x:v>
      </x:c>
      <x:c r="T16" s="28" t="str">
        <x:v>Existing benchmark from multi-source STR pages.</x:v>
      </x:c>
      <x:c r="U16" s="28" t="str">
        <x:v>Medium-High</x:v>
      </x:c>
    </x:row>
    <x:row r="17">
      <x:c r="A17" s="28" t="str">
        <x:v>Lake Tahoe, NV</x:v>
      </x:c>
      <x:c r="B17" s="28" t="str">
        <x:v>Incline Village / Tahoe NV luxury lake-ski proxy</x:v>
      </x:c>
      <x:c r="C17" s="54" t="n">
        <x:v>50000</x:v>
      </x:c>
      <x:c r="D17" s="54" t="n">
        <x:v>98000</x:v>
      </x:c>
      <x:c r="E17" s="54" t="n">
        <x:f>ROUND(C17/12,0)</x:f>
        <x:v>4167</x:v>
      </x:c>
      <x:c r="F17" s="54" t="n">
        <x:f>ROUND(D17/12,0)</x:f>
        <x:v>8167</x:v>
      </x:c>
      <x:c r="G17" s="56" t="n">
        <x:v>0.35</x:v>
      </x:c>
      <x:c r="H17" s="56" t="n">
        <x:v>0.6</x:v>
      </x:c>
      <x:c r="I17" s="54" t="n">
        <x:v>350</x:v>
      </x:c>
      <x:c r="J17" s="54" t="n">
        <x:v>650</x:v>
      </x:c>
      <x:c r="K17" s="28" t="n">
        <x:v>4</x:v>
      </x:c>
      <x:c r="L17" s="28" t="str">
        <x:v>Regulated luxury lake/ski market; exact jurisdiction, permit availability, and HOA rules dominate feasibility.</x:v>
      </x:c>
      <x:c r="M17" s="58" t="n">
        <x:v>60</x:v>
      </x:c>
      <x:c r="N17" s="58" t="n">
        <x:v>160</x:v>
      </x:c>
      <x:c r="O17" s="28" t="str">
        <x:v>$25K-$90K+; increase for luxury finishes, snow removal, bear boxes, lake/ski gear, and high replacement reserves.</x:v>
      </x:c>
      <x:c r="P17" s="28" t="str">
        <x:v>High: verify local permit caps, transient occupancy tax, HOA, fire/wildfire insurance, and snow access.</x:v>
      </x:c>
      <x:c r="Q17" s="28" t="str">
        <x:v>https://www.airroi.com/airbnb-data/united-states/nevada/incline-village</x:v>
      </x:c>
      <x:c r="R17" s="28" t="str">
        <x:v>https://rabbu.com/airbnb-data/incline-village-nv</x:v>
      </x:c>
      <x:c r="S17" s="28" t="str">
        <x:v>https://www.airdna.co/vacation-rental-data/app/us/nevada/incline-village/overview</x:v>
      </x:c>
      <x:c r="T17" s="28" t="str">
        <x:v>Existing benchmark uses Incline/Tahoe NV proxy; permits and rules are address-specific.</x:v>
      </x:c>
      <x:c r="U17" s="28" t="str">
        <x:v>Medium</x:v>
      </x:c>
    </x:row>
    <x:row r="18">
      <x:c r="A18" s="28" t="str">
        <x:v>Park City, UT</x:v>
      </x:c>
      <x:c r="B18" s="28" t="str">
        <x:v>Park City ski/luxury STR market</x:v>
      </x:c>
      <x:c r="C18" s="54" t="n">
        <x:v>55000</x:v>
      </x:c>
      <x:c r="D18" s="54" t="n">
        <x:v>115000</x:v>
      </x:c>
      <x:c r="E18" s="54" t="n">
        <x:f>ROUND(C18/12,0)</x:f>
        <x:v>4583</x:v>
      </x:c>
      <x:c r="F18" s="54" t="n">
        <x:f>ROUND(D18/12,0)</x:f>
        <x:v>9583</x:v>
      </x:c>
      <x:c r="G18" s="56" t="n">
        <x:v>0.35</x:v>
      </x:c>
      <x:c r="H18" s="56" t="n">
        <x:v>0.62</x:v>
      </x:c>
      <x:c r="I18" s="54" t="n">
        <x:v>450</x:v>
      </x:c>
      <x:c r="J18" s="54" t="n">
        <x:v>750</x:v>
      </x:c>
      <x:c r="K18" s="28" t="n">
        <x:v>4</x:v>
      </x:c>
      <x:c r="L18" s="28" t="str">
        <x:v>High-ADR ski market; ski access, bedrooms, hot tub, resort zone, and seasonality drive performance.</x:v>
      </x:c>
      <x:c r="M18" s="58" t="n">
        <x:v>60</x:v>
      </x:c>
      <x:c r="N18" s="58" t="n">
        <x:v>170</x:v>
      </x:c>
      <x:c r="O18" s="28" t="str">
        <x:v>$25K-$100K+; increase for luxury finishes, hot tub, ski storage, winterization, and HOA/resort requirements.</x:v>
      </x:c>
      <x:c r="P18" s="28" t="str">
        <x:v>Medium-High: verify zoning, business license, HOA, nightly-rental overlay, and winter access.</x:v>
      </x:c>
      <x:c r="Q18" s="28" t="str">
        <x:v>https://www.airroi.com/airbnb-data/united-states/utah/park-city</x:v>
      </x:c>
      <x:c r="R18" s="28" t="str">
        <x:v>https://rabbu.com/airbnb-data/park-city-ut</x:v>
      </x:c>
      <x:c r="S18" s="28" t="str">
        <x:v>https://www.airdna.co/vacation-rental-data/app/us/utah/park-city/overview</x:v>
      </x:c>
      <x:c r="T18" s="28" t="str">
        <x:v>Existing benchmark; luxury and ski-access comps required.</x:v>
      </x:c>
      <x:c r="U18" s="28" t="str">
        <x:v>Medium-High</x:v>
      </x:c>
    </x:row>
    <x:row r="19">
      <x:c r="A19" s="28" t="str">
        <x:v>Orlando, FL</x:v>
      </x:c>
      <x:c r="B19" s="28" t="str">
        <x:v>Orlando / Disney-convention STR market</x:v>
      </x:c>
      <x:c r="C19" s="54" t="n">
        <x:v>33000</x:v>
      </x:c>
      <x:c r="D19" s="54" t="n">
        <x:v>60000</x:v>
      </x:c>
      <x:c r="E19" s="54" t="n">
        <x:f>ROUND(C19/12,0)</x:f>
        <x:v>2750</x:v>
      </x:c>
      <x:c r="F19" s="54" t="n">
        <x:f>ROUND(D19/12,0)</x:f>
        <x:v>5000</x:v>
      </x:c>
      <x:c r="G19" s="56" t="n">
        <x:v>0.45</x:v>
      </x:c>
      <x:c r="H19" s="56" t="n">
        <x:v>0.61</x:v>
      </x:c>
      <x:c r="I19" s="54" t="n">
        <x:v>183</x:v>
      </x:c>
      <x:c r="J19" s="54" t="n">
        <x:v>243</x:v>
      </x:c>
      <x:c r="K19" s="28" t="n">
        <x:v>5</x:v>
      </x:c>
      <x:c r="L19" s="28" t="str">
        <x:v>Added as the 30th requested market. Bedroom count, resort community, Disney distance, pool, and HOA rules strongly affect gross.</x:v>
      </x:c>
      <x:c r="M19" s="58" t="n">
        <x:v>45</x:v>
      </x:c>
      <x:c r="N19" s="58" t="n">
        <x:v>115</x:v>
      </x:c>
      <x:c r="O19" s="28" t="str">
        <x:v>$15K-$50K+; increase for themed rooms, pool/spa, resort standards, linens, and heavy family-turnover durability.</x:v>
      </x:c>
      <x:c r="P19" s="28" t="str">
        <x:v>Medium: verify county/city zoning, HOA/resort permissions, local business tax receipt, tourist taxes, and hotel/transient rules.</x:v>
      </x:c>
      <x:c r="Q19" s="28" t="str">
        <x:v>https://www.airroi.com/airbnb-data/united-states/florida/orlando</x:v>
      </x:c>
      <x:c r="R19" s="28" t="str">
        <x:v>https://rabbu.com/airbnb-data/orlando-fl</x:v>
      </x:c>
      <x:c r="S19" s="28" t="str">
        <x:v>https://getchalet.com/markets/orlando-fl</x:v>
      </x:c>
      <x:c r="T19" s="28" t="str">
        <x:v>AirROI reports about $33.1K annual, 45.2% occupancy, and $243 ADR; GetChalet/Rabbu/Airbtics support a broader $30K-$60K underwriting band.</x:v>
      </x:c>
      <x:c r="U19" s="28" t="str">
        <x:v>High</x:v>
      </x:c>
    </x:row>
    <x:row r="20">
      <x:c r="A20" s="28" t="str">
        <x:v>Panama City Beach, FL</x:v>
      </x:c>
      <x:c r="B20" s="28" t="str">
        <x:v>PCB beach STR market</x:v>
      </x:c>
      <x:c r="C20" s="54" t="n">
        <x:v>36700</x:v>
      </x:c>
      <x:c r="D20" s="54" t="n">
        <x:v>48400</x:v>
      </x:c>
      <x:c r="E20" s="54" t="n">
        <x:f>ROUND(C20/12,0)</x:f>
        <x:v>3058</x:v>
      </x:c>
      <x:c r="F20" s="54" t="n">
        <x:f>ROUND(D20/12,0)</x:f>
        <x:v>4033</x:v>
      </x:c>
      <x:c r="G20" s="56" t="n">
        <x:v>0.4</x:v>
      </x:c>
      <x:c r="H20" s="56" t="n">
        <x:v>0.6</x:v>
      </x:c>
      <x:c r="I20" s="54" t="n">
        <x:v>212</x:v>
      </x:c>
      <x:c r="J20" s="54" t="n">
        <x:v>343</x:v>
      </x:c>
      <x:c r="K20" s="28" t="n">
        <x:v>5</x:v>
      </x:c>
      <x:c r="L20" s="28" t="str">
        <x:v>Added market. High-volume beach STR market distinct from Destin/30A; condo building, beach access, and seasonality matter.</x:v>
      </x:c>
      <x:c r="M20" s="58" t="n">
        <x:v>45</x:v>
      </x:c>
      <x:c r="N20" s="58" t="n">
        <x:v>120</x:v>
      </x:c>
      <x:c r="O20" s="28" t="str">
        <x:v>$15K-$50K+; budget coastal durability, condo/HOA standards, linens, beach gear, and storm/flood reserves.</x:v>
      </x:c>
      <x:c r="P20" s="28" t="str">
        <x:v>Medium: verify city/county STR license, condo/HOA rules, flood/wind coverage, and lodging taxes.</x:v>
      </x:c>
      <x:c r="Q20" s="28" t="str">
        <x:v>https://www.airroi.com/airbnb-data/united-states/florida/panama-city-beach</x:v>
      </x:c>
      <x:c r="R20" s="28" t="str">
        <x:v>https://rabbu.com/airbnb-data/panama-city-beach-fl</x:v>
      </x:c>
      <x:c r="S20" s="28" t="str">
        <x:v>https://getchalet.com/markets/panama-city-beach-fl</x:v>
      </x:c>
      <x:c r="T20" s="28" t="str">
        <x:v>AirROI, Rabbu, GetChalet, Airbtics, and STR ROI data cluster around mid-$30Ks to high-$40Ks annual with 40%-60% occupancy.</x:v>
      </x:c>
      <x:c r="U20" s="28" t="str">
        <x:v>High</x:v>
      </x:c>
    </x:row>
    <x:row r="21">
      <x:c r="A21" s="28" t="str">
        <x:v>Chattanooga, TN</x:v>
      </x:c>
      <x:c r="B21" s="28" t="str">
        <x:v>Urban/outdoor STR crossover market</x:v>
      </x:c>
      <x:c r="C21" s="54" t="n">
        <x:v>27300</x:v>
      </x:c>
      <x:c r="D21" s="54" t="n">
        <x:v>39000</x:v>
      </x:c>
      <x:c r="E21" s="54" t="n">
        <x:f>ROUND(C21/12,0)</x:f>
        <x:v>2275</x:v>
      </x:c>
      <x:c r="F21" s="54" t="n">
        <x:f>ROUND(D21/12,0)</x:f>
        <x:v>3250</x:v>
      </x:c>
      <x:c r="G21" s="56" t="n">
        <x:v>0.3</x:v>
      </x:c>
      <x:c r="H21" s="56" t="n">
        <x:v>0.61</x:v>
      </x:c>
      <x:c r="I21" s="54" t="n">
        <x:v>169</x:v>
      </x:c>
      <x:c r="J21" s="54" t="n">
        <x:v>195</x:v>
      </x:c>
      <x:c r="K21" s="28" t="n">
        <x:v>5</x:v>
      </x:c>
      <x:c r="L21" s="28" t="str">
        <x:v>Added as both flip and STR. Outdoor tourism, downtown events, and affordability create crossover appeal.</x:v>
      </x:c>
      <x:c r="M21" s="58" t="n">
        <x:v>38</x:v>
      </x:c>
      <x:c r="N21" s="58" t="n">
        <x:v>90</x:v>
      </x:c>
      <x:c r="O21" s="28" t="str">
        <x:v>$10K-$30K; increase for outdoor living, pet-friendly setup, hot tub, downtown finishes, and older-house systems.</x:v>
      </x:c>
      <x:c r="P21" s="28" t="str">
        <x:v>Medium: verify city/county permits, zoning, tax registration, HOA, and neighborhood-specific restrictions.</x:v>
      </x:c>
      <x:c r="Q21" s="28" t="str">
        <x:v>https://www.airroi.com/airbnb-data/united-states/tennessee/chattanooga</x:v>
      </x:c>
      <x:c r="R21" s="28" t="str">
        <x:v>https://rabbu.com/airbnb-data/chattanooga-tn</x:v>
      </x:c>
      <x:c r="S21" s="28" t="str">
        <x:v>https://getchalet.com/markets/chattanooga-tn</x:v>
      </x:c>
      <x:c r="T21" s="28" t="str">
        <x:v>AirROI reports about $30.6K annual, 46.9% occupancy, and $195 ADR; Rabbu/GetChalet/Airbtics produce a wider $27K-$39K band.</x:v>
      </x:c>
      <x:c r="U21" s="28" t="str">
        <x:v>Medium-High</x:v>
      </x:c>
    </x:row>
    <x:row r="22">
      <x:c r="A22" s="28" t="str">
        <x:v>Asheville, NC</x:v>
      </x:c>
      <x:c r="B22" s="28" t="str">
        <x:v>Asheville mountain/tourism STR market</x:v>
      </x:c>
      <x:c r="C22" s="54" t="n">
        <x:v>30000</x:v>
      </x:c>
      <x:c r="D22" s="54" t="n">
        <x:v>50000</x:v>
      </x:c>
      <x:c r="E22" s="54" t="n">
        <x:f>ROUND(C22/12,0)</x:f>
        <x:v>2500</x:v>
      </x:c>
      <x:c r="F22" s="54" t="n">
        <x:f>ROUND(D22/12,0)</x:f>
        <x:v>4167</x:v>
      </x:c>
      <x:c r="G22" s="56" t="n">
        <x:v>0.42</x:v>
      </x:c>
      <x:c r="H22" s="56" t="n">
        <x:v>0.57</x:v>
      </x:c>
      <x:c r="I22" s="54" t="n">
        <x:v>186</x:v>
      </x:c>
      <x:c r="J22" s="54" t="n">
        <x:v>245</x:v>
      </x:c>
      <x:c r="K22" s="28" t="n">
        <x:v>5</x:v>
      </x:c>
      <x:c r="L22" s="28" t="str">
        <x:v>Added market with explicit regulatory risk. Whole-home STR feasibility is highly zoning/permit dependent inside Asheville city limits.</x:v>
      </x:c>
      <x:c r="M22" s="58" t="n">
        <x:v>45</x:v>
      </x:c>
      <x:c r="N22" s="58" t="n">
        <x:v>120</x:v>
      </x:c>
      <x:c r="O22" s="28" t="str">
        <x:v>$15K-$45K+; increase for design-forward furnishings, mountain/outdoor amenities, hot tub, and older-home system risk.</x:v>
      </x:c>
      <x:c r="P22" s="28" t="str">
        <x:v>High: Asheville city states whole-house/apartment STVRs under one month are only allowed in Resort Zoning District; verify zoning/permit before underwriting.</x:v>
      </x:c>
      <x:c r="Q22" s="28" t="str">
        <x:v>https://www.airroi.com/airbnb-data/united-states/north-carolina/asheville</x:v>
      </x:c>
      <x:c r="R22" s="28" t="str">
        <x:v>https://www.ashevillenc.gov/department/development-services/compliance-division/homestays-and-short-term-rental-violations/</x:v>
      </x:c>
      <x:c r="S22" s="28" t="str">
        <x:v>https://getchalet.com/markets/asheville-nc</x:v>
      </x:c>
      <x:c r="T22" s="28" t="str">
        <x:v>AirROI/GetChalet/Airbtics support a low-$30Ks core market average, but permitted high-finish properties can underwrite higher; regulation is the gating risk.</x:v>
      </x:c>
      <x:c r="U22" s="28" t="str">
        <x:v>Medium</x:v>
      </x:c>
    </x:row>
  </x:sheetData>
  <x:mergeCells>
    <x:mergeCell ref="A1:U1"/>
  </x:mergeCells>
  <x:pageMargins left="0.7" right="0.7" top="0.75" bottom="0.75" header="0.3" footer="0.3"/>
  <x:tableParts count="1">
    <x:tablePart xmlns:r="http://schemas.openxmlformats.org/officeDocument/2006/relationships" r:id="R4f85adad59c149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4" hidden="0" customWidth="1"/>
    <x:col min="9" max="9" width="14" hidden="0" customWidth="1"/>
    <x:col min="10" max="10" width="54" hidden="0" customWidth="1"/>
    <x:col min="11" max="11" width="54" hidden="0" customWidth="1"/>
    <x:col min="12" max="12" width="54" hidden="0" customWidth="1"/>
    <x:col min="13" max="13" width="14" hidden="0" customWidth="1"/>
    <x:col min="14" max="14" width="70" hidden="0" customWidth="1"/>
  </x:cols>
  <x:sheetData>
    <x:row r="1" ht="26" customHeight="1">
      <x:c r="A1" s="5" t="str">
        <x:v>LTR Benchmarks - Rents, Vacancy, Cap Rates, and Property Tax Estimates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39" t="str">
        <x:v>Every unique market in the benchmark pack is included. Rents are monthly by bedroom count; cap/vacancy/tax are underwriting estimates and should be validated by address, property class, and county.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>
      <x:c r="A3"/>
    </x:row>
    <x:row r="4" ht="40" customHeight="1">
      <x:c r="A4" s="74" t="str">
        <x:v>Market</x:v>
      </x:c>
      <x:c r="B4" s="74" t="str">
        <x:v>Market Category</x:v>
      </x:c>
      <x:c r="C4" s="74" t="str">
        <x:v>Rent Proxy</x:v>
      </x:c>
      <x:c r="D4" s="74" t="str">
        <x:v>Avg Monthly Rent 1BR</x:v>
      </x:c>
      <x:c r="E4" s="74" t="str">
        <x:v>Avg Monthly Rent 2BR</x:v>
      </x:c>
      <x:c r="F4" s="74" t="str">
        <x:v>Avg Monthly Rent 3BR</x:v>
      </x:c>
      <x:c r="G4" s="74" t="str">
        <x:v>Vacancy Rate Est</x:v>
      </x:c>
      <x:c r="H4" s="74" t="str">
        <x:v>Avg LTR Cap Rate Est</x:v>
      </x:c>
      <x:c r="I4" s="74" t="str">
        <x:v>Property Tax Rate Est</x:v>
      </x:c>
      <x:c r="J4" s="74" t="str">
        <x:v>Rent Source URL</x:v>
      </x:c>
      <x:c r="K4" s="74" t="str">
        <x:v>Vacancy / Cap Source URL</x:v>
      </x:c>
      <x:c r="L4" s="74" t="str">
        <x:v>Tax Source URL</x:v>
      </x:c>
      <x:c r="M4" s="74" t="str">
        <x:v>Confidence</x:v>
      </x:c>
      <x:c r="N4" s="74" t="str">
        <x:v>Notes</x:v>
      </x:c>
    </x:row>
    <x:row r="5">
      <x:c r="A5" s="28" t="str">
        <x:v>Charlotte, NC</x:v>
      </x:c>
      <x:c r="B5" s="28" t="str">
        <x:v>Flip + LTR + selective STR</x:v>
      </x:c>
      <x:c r="C5" s="28" t="str">
        <x:v>Citywide RentCafe/Zumper blend</x:v>
      </x:c>
      <x:c r="D5" s="54" t="n">
        <x:v>1466</x:v>
      </x:c>
      <x:c r="E5" s="54" t="n">
        <x:v>1757</x:v>
      </x:c>
      <x:c r="F5" s="54" t="n">
        <x:v>2074</x:v>
      </x:c>
      <x:c r="G5" s="56" t="n">
        <x:v>0.051</x:v>
      </x:c>
      <x:c r="H5" s="56" t="n">
        <x:v>0.035</x:v>
      </x:c>
      <x:c r="I5" s="56" t="n">
        <x:v>0.0083</x:v>
      </x:c>
      <x:c r="J5" s="28" t="str">
        <x:v>https://www.rentcafe.com/average-rent-market-trends/us/nc/charlotte/</x:v>
      </x:c>
      <x:c r="K5" s="28" t="str">
        <x:v>https://www.capratecity.com/charlotte-nc/investment-guide</x:v>
      </x:c>
      <x:c r="L5" s="28" t="str">
        <x:v>https://smartasset.com/taxes/north-carolina-property-tax-calculator</x:v>
      </x:c>
      <x:c r="M5" s="28" t="str">
        <x:v>High</x:v>
      </x:c>
      <x:c r="N5" s="28" t="str">
        <x:v>Rents use current public apartment/SFR rent trackers; cap/vacancy/tax are underwriting estimates to be verified by zip and property class.</x:v>
      </x:c>
    </x:row>
    <x:row r="6">
      <x:c r="A6" s="28" t="str">
        <x:v>Atlanta, GA</x:v>
      </x:c>
      <x:c r="B6" s="28" t="str">
        <x:v>Flip + LTR + selective STR</x:v>
      </x:c>
      <x:c r="C6" s="28" t="str">
        <x:v>Citywide Zumper/Trulia blend</x:v>
      </x:c>
      <x:c r="D6" s="54" t="n">
        <x:v>1642</x:v>
      </x:c>
      <x:c r="E6" s="54" t="n">
        <x:v>2000</x:v>
      </x:c>
      <x:c r="F6" s="54" t="n">
        <x:v>2250</x:v>
      </x:c>
      <x:c r="G6" s="56" t="n">
        <x:v>0.06</x:v>
      </x:c>
      <x:c r="H6" s="56" t="n">
        <x:v>0.042</x:v>
      </x:c>
      <x:c r="I6" s="56" t="n">
        <x:v>0.0089</x:v>
      </x:c>
      <x:c r="J6" s="28" t="str">
        <x:v>https://www.zumper.com/rent-research/atlanta-ga</x:v>
      </x:c>
      <x:c r="K6" s="28" t="str">
        <x:v>https://www.capratecity.com/blog/cap-rate-by-city</x:v>
      </x:c>
      <x:c r="L6" s="28" t="str">
        <x:v>https://smartasset.com/taxes/georgia-property-tax-calculator</x:v>
      </x:c>
      <x:c r="M6" s="28" t="str">
        <x:v>High</x:v>
      </x:c>
      <x:c r="N6" s="28" t="str">
        <x:v>Large metro dispersion; use neighborhood comps for BeltLine, suburbs, and older intown stock.</x:v>
      </x:c>
    </x:row>
    <x:row r="7">
      <x:c r="A7" s="28" t="str">
        <x:v>Dallas, TX</x:v>
      </x:c>
      <x:c r="B7" s="28" t="str">
        <x:v>Flip + LTR + STR crossover</x:v>
      </x:c>
      <x:c r="C7" s="28" t="str">
        <x:v>Citywide Zumper/Trulia blend</x:v>
      </x:c>
      <x:c r="D7" s="54" t="n">
        <x:v>1454</x:v>
      </x:c>
      <x:c r="E7" s="54" t="n">
        <x:v>1850</x:v>
      </x:c>
      <x:c r="F7" s="54" t="n">
        <x:v>2700</x:v>
      </x:c>
      <x:c r="G7" s="56" t="n">
        <x:v>0.068</x:v>
      </x:c>
      <x:c r="H7" s="56" t="n">
        <x:v>0.044</x:v>
      </x:c>
      <x:c r="I7" s="56" t="n">
        <x:v>0.0192</x:v>
      </x:c>
      <x:c r="J7" s="28" t="str">
        <x:v>https://www.zumper.com/rent-research/dallas-tx</x:v>
      </x:c>
      <x:c r="K7" s="28" t="str">
        <x:v>https://www.capratecity.com/blog/cap-rate-by-city</x:v>
      </x:c>
      <x:c r="L7" s="28" t="str">
        <x:v>https://smartasset.com/taxes/texas-property-tax-calculator</x:v>
      </x:c>
      <x:c r="M7" s="28" t="str">
        <x:v>Medium-High</x:v>
      </x:c>
      <x:c r="N7" s="28" t="str">
        <x:v>Texas tax rate is a major DSCR sensitivity; verify county/city/ISD millage.</x:v>
      </x:c>
    </x:row>
    <x:row r="8">
      <x:c r="A8" s="28" t="str">
        <x:v>Phoenix, AZ</x:v>
      </x:c>
      <x:c r="B8" s="28" t="str">
        <x:v>Flip + LTR + STR crossover</x:v>
      </x:c>
      <x:c r="C8" s="28" t="str">
        <x:v>Citywide Zumper/Trulia blend</x:v>
      </x:c>
      <x:c r="D8" s="54" t="n">
        <x:v>1250</x:v>
      </x:c>
      <x:c r="E8" s="54" t="n">
        <x:v>1499</x:v>
      </x:c>
      <x:c r="F8" s="54" t="n">
        <x:v>2000</x:v>
      </x:c>
      <x:c r="G8" s="56" t="n">
        <x:v>0.07</x:v>
      </x:c>
      <x:c r="H8" s="56" t="n">
        <x:v>0.04</x:v>
      </x:c>
      <x:c r="I8" s="56" t="n">
        <x:v>0.0058</x:v>
      </x:c>
      <x:c r="J8" s="28" t="str">
        <x:v>https://www.zumper.com/rent-research/phoenix-az</x:v>
      </x:c>
      <x:c r="K8" s="28" t="str">
        <x:v>https://www.capratecity.com/blog/cap-rate-by-city</x:v>
      </x:c>
      <x:c r="L8" s="28" t="str">
        <x:v>https://smartasset.com/taxes/arizona-property-tax-calculator</x:v>
      </x:c>
      <x:c r="M8" s="28" t="str">
        <x:v>Medium-High</x:v>
      </x:c>
      <x:c r="N8" s="28" t="str">
        <x:v>Use submarket and build-year adjustments; newer supply and pool/HVAC costs affect NOI.</x:v>
      </x:c>
    </x:row>
    <x:row r="9">
      <x:c r="A9" s="28" t="str">
        <x:v>Tampa, FL</x:v>
      </x:c>
      <x:c r="B9" s="28" t="str">
        <x:v>Flip + LTR + STR crossover</x:v>
      </x:c>
      <x:c r="C9" s="28" t="str">
        <x:v>Citywide Zumper/Trulia blend</x:v>
      </x:c>
      <x:c r="D9" s="54" t="n">
        <x:v>1485</x:v>
      </x:c>
      <x:c r="E9" s="54" t="n">
        <x:v>1750</x:v>
      </x:c>
      <x:c r="F9" s="54" t="n">
        <x:v>2200</x:v>
      </x:c>
      <x:c r="G9" s="56" t="n">
        <x:v>0.065</x:v>
      </x:c>
      <x:c r="H9" s="56" t="n">
        <x:v>0.038</x:v>
      </x:c>
      <x:c r="I9" s="56" t="n">
        <x:v>0.0098</x:v>
      </x:c>
      <x:c r="J9" s="28" t="str">
        <x:v>https://www.zumper.com/rent-research/tampa-fl</x:v>
      </x:c>
      <x:c r="K9" s="28" t="str">
        <x:v>https://www.capratecity.com/blog/cap-rate-by-city</x:v>
      </x:c>
      <x:c r="L9" s="28" t="str">
        <x:v>https://smartasset.com/taxes/florida-property-tax-calculator</x:v>
      </x:c>
      <x:c r="M9" s="28" t="str">
        <x:v>Medium-High</x:v>
      </x:c>
      <x:c r="N9" s="28" t="str">
        <x:v>Insurance/flood/roof assumptions often matter more than rent in BRRR DSCR tests.</x:v>
      </x:c>
    </x:row>
    <x:row r="10">
      <x:c r="A10" s="28" t="str">
        <x:v>Nashville, TN</x:v>
      </x:c>
      <x:c r="B10" s="28" t="str">
        <x:v>Flip + LTR + STR crossover</x:v>
      </x:c>
      <x:c r="C10" s="28" t="str">
        <x:v>Citywide Zumper/Trulia blend</x:v>
      </x:c>
      <x:c r="D10" s="54" t="n">
        <x:v>1600</x:v>
      </x:c>
      <x:c r="E10" s="54" t="n">
        <x:v>1799</x:v>
      </x:c>
      <x:c r="F10" s="54" t="n">
        <x:v>2350</x:v>
      </x:c>
      <x:c r="G10" s="56" t="n">
        <x:v>0.062</x:v>
      </x:c>
      <x:c r="H10" s="56" t="n">
        <x:v>0.036</x:v>
      </x:c>
      <x:c r="I10" s="56" t="n">
        <x:v>0.0056</x:v>
      </x:c>
      <x:c r="J10" s="28" t="str">
        <x:v>https://www.zumper.com/rent-research/nashville-tn</x:v>
      </x:c>
      <x:c r="K10" s="28" t="str">
        <x:v>https://www.capratecity.com/blog/cap-rate-by-city</x:v>
      </x:c>
      <x:c r="L10" s="28" t="str">
        <x:v>https://smartasset.com/taxes/tennessee-property-tax-calculator</x:v>
      </x:c>
      <x:c r="M10" s="28" t="str">
        <x:v>Medium-High</x:v>
      </x:c>
      <x:c r="N10" s="28" t="str">
        <x:v>STR can outcompete LTR in selected zones; LTR cap rate often compressed in core neighborhoods.</x:v>
      </x:c>
    </x:row>
    <x:row r="11">
      <x:c r="A11" s="28" t="str">
        <x:v>Indianapolis, IN</x:v>
      </x:c>
      <x:c r="B11" s="28" t="str">
        <x:v>Flip + LTR</x:v>
      </x:c>
      <x:c r="C11" s="28" t="str">
        <x:v>Citywide Zumper blend</x:v>
      </x:c>
      <x:c r="D11" s="54" t="n">
        <x:v>1000</x:v>
      </x:c>
      <x:c r="E11" s="54" t="n">
        <x:v>1275</x:v>
      </x:c>
      <x:c r="F11" s="54" t="n">
        <x:v>1625</x:v>
      </x:c>
      <x:c r="G11" s="56" t="n">
        <x:v>0.055</x:v>
      </x:c>
      <x:c r="H11" s="56" t="n">
        <x:v>0.055</x:v>
      </x:c>
      <x:c r="I11" s="56" t="n">
        <x:v>0.0093</x:v>
      </x:c>
      <x:c r="J11" s="28" t="str">
        <x:v>https://www.zumper.com/rent-research/indianapolis-in</x:v>
      </x:c>
      <x:c r="K11" s="28" t="str">
        <x:v>https://www.capratecity.com/blog/cap-rate-by-city</x:v>
      </x:c>
      <x:c r="L11" s="28" t="str">
        <x:v>https://smartasset.com/taxes/indiana-property-tax-calculator</x:v>
      </x:c>
      <x:c r="M11" s="28" t="str">
        <x:v>High</x:v>
      </x:c>
      <x:c r="N11" s="28" t="str">
        <x:v>Good LTR/BRRR repeatability; older homes require system reserves.</x:v>
      </x:c>
    </x:row>
    <x:row r="12">
      <x:c r="A12" s="28" t="str">
        <x:v>Columbus, OH</x:v>
      </x:c>
      <x:c r="B12" s="28" t="str">
        <x:v>Flip + LTR</x:v>
      </x:c>
      <x:c r="C12" s="28" t="str">
        <x:v>Citywide Apartments.com/Zumper blend</x:v>
      </x:c>
      <x:c r="D12" s="54" t="n">
        <x:v>1174</x:v>
      </x:c>
      <x:c r="E12" s="54" t="n">
        <x:v>1375</x:v>
      </x:c>
      <x:c r="F12" s="54" t="n">
        <x:v>1606</x:v>
      </x:c>
      <x:c r="G12" s="56" t="n">
        <x:v>0.048</x:v>
      </x:c>
      <x:c r="H12" s="56" t="n">
        <x:v>0.05</x:v>
      </x:c>
      <x:c r="I12" s="56" t="n">
        <x:v>0.0162</x:v>
      </x:c>
      <x:c r="J12" s="28" t="str">
        <x:v>https://www.apartments.com/rent-market-trends/columbus-oh/</x:v>
      </x:c>
      <x:c r="K12" s="28" t="str">
        <x:v>https://www.capratecity.com/blog/cap-rate-by-city</x:v>
      </x:c>
      <x:c r="L12" s="28" t="str">
        <x:v>https://smartasset.com/taxes/ohio-property-tax-calculator</x:v>
      </x:c>
      <x:c r="M12" s="28" t="str">
        <x:v>High</x:v>
      </x:c>
      <x:c r="N12" s="28" t="str">
        <x:v>Steady rent market, but property tax and school district differences are meaningful.</x:v>
      </x:c>
    </x:row>
    <x:row r="13">
      <x:c r="A13" s="28" t="str">
        <x:v>Kansas City, MO</x:v>
      </x:c>
      <x:c r="B13" s="28" t="str">
        <x:v>Flip + LTR</x:v>
      </x:c>
      <x:c r="C13" s="28" t="str">
        <x:v>Rentometer/Zumper blend</x:v>
      </x:c>
      <x:c r="D13" s="54" t="n">
        <x:v>1233</x:v>
      </x:c>
      <x:c r="E13" s="54" t="n">
        <x:v>1443</x:v>
      </x:c>
      <x:c r="F13" s="54" t="n">
        <x:v>1617</x:v>
      </x:c>
      <x:c r="G13" s="56" t="n">
        <x:v>0.057</x:v>
      </x:c>
      <x:c r="H13" s="56" t="n">
        <x:v>0.057</x:v>
      </x:c>
      <x:c r="I13" s="56" t="n">
        <x:v>0.0136</x:v>
      </x:c>
      <x:c r="J13" s="28" t="str">
        <x:v>https://www.rentometer.com/average-rent-in/kansas-city-mo</x:v>
      </x:c>
      <x:c r="K13" s="28" t="str">
        <x:v>https://www.capratecity.com/blog/cap-rate-by-city</x:v>
      </x:c>
      <x:c r="L13" s="28" t="str">
        <x:v>https://smartasset.com/taxes/missouri-property-tax-calculator</x:v>
      </x:c>
      <x:c r="M13" s="28" t="str">
        <x:v>Medium-High</x:v>
      </x:c>
      <x:c r="N13" s="28" t="str">
        <x:v>Neighborhood spread and older system risk create wide BRRR outcomes.</x:v>
      </x:c>
    </x:row>
    <x:row r="14">
      <x:c r="A14" s="28" t="str">
        <x:v>Memphis, TN</x:v>
      </x:c>
      <x:c r="B14" s="28" t="str">
        <x:v>Flip + LTR</x:v>
      </x:c>
      <x:c r="C14" s="28" t="str">
        <x:v>Apartments.com/Zumper/Trulia blend</x:v>
      </x:c>
      <x:c r="D14" s="54" t="n">
        <x:v>1050</x:v>
      </x:c>
      <x:c r="E14" s="54" t="n">
        <x:v>1083</x:v>
      </x:c>
      <x:c r="F14" s="54" t="n">
        <x:v>1294</x:v>
      </x:c>
      <x:c r="G14" s="56" t="n">
        <x:v>0.075</x:v>
      </x:c>
      <x:c r="H14" s="56" t="n">
        <x:v>0.064</x:v>
      </x:c>
      <x:c r="I14" s="56" t="n">
        <x:v>0.0116</x:v>
      </x:c>
      <x:c r="J14" s="28" t="str">
        <x:v>https://www.apartments.com/rent-market-trends/memphis-tn/</x:v>
      </x:c>
      <x:c r="K14" s="28" t="str">
        <x:v>https://www.capratecity.com/blog/cap-rate-by-city</x:v>
      </x:c>
      <x:c r="L14" s="28" t="str">
        <x:v>https://smartasset.com/taxes/tennessee-property-tax-calculator</x:v>
      </x:c>
      <x:c r="M14" s="28" t="str">
        <x:v>Medium</x:v>
      </x:c>
      <x:c r="N14" s="28" t="str">
        <x:v>High cap-rate potential with elevated management, vacancy, and neighborhood-liquidity risk.</x:v>
      </x:c>
    </x:row>
    <x:row r="15">
      <x:c r="A15" s="28" t="str">
        <x:v>Jacksonville, FL</x:v>
      </x:c>
      <x:c r="B15" s="28" t="str">
        <x:v>Flip + LTR + STR crossover</x:v>
      </x:c>
      <x:c r="C15" s="28" t="str">
        <x:v>Apartments.com/Zumper blend</x:v>
      </x:c>
      <x:c r="D15" s="54" t="n">
        <x:v>1306</x:v>
      </x:c>
      <x:c r="E15" s="54" t="n">
        <x:v>1537</x:v>
      </x:c>
      <x:c r="F15" s="54" t="n">
        <x:v>1903</x:v>
      </x:c>
      <x:c r="G15" s="56" t="n">
        <x:v>0.068</x:v>
      </x:c>
      <x:c r="H15" s="56" t="n">
        <x:v>0.046</x:v>
      </x:c>
      <x:c r="I15" s="56" t="n">
        <x:v>0.0083</x:v>
      </x:c>
      <x:c r="J15" s="28" t="str">
        <x:v>https://www.apartments.com/rent-market-trends/jacksonville-fl/</x:v>
      </x:c>
      <x:c r="K15" s="28" t="str">
        <x:v>https://www.capratecity.com/blog/cap-rate-by-city</x:v>
      </x:c>
      <x:c r="L15" s="28" t="str">
        <x:v>https://smartasset.com/taxes/florida-property-tax-calculator</x:v>
      </x:c>
      <x:c r="M15" s="28" t="str">
        <x:v>Medium-High</x:v>
      </x:c>
      <x:c r="N15" s="28" t="str">
        <x:v>Insurance and flood-zone screening required for BRRR/LTR holds.</x:v>
      </x:c>
    </x:row>
    <x:row r="16">
      <x:c r="A16" s="28" t="str">
        <x:v>San Antonio, TX</x:v>
      </x:c>
      <x:c r="B16" s="28" t="str">
        <x:v>Flip + LTR + STR crossover</x:v>
      </x:c>
      <x:c r="C16" s="28" t="str">
        <x:v>Citywide Zumper blend</x:v>
      </x:c>
      <x:c r="D16" s="54" t="n">
        <x:v>950</x:v>
      </x:c>
      <x:c r="E16" s="54" t="n">
        <x:v>1250</x:v>
      </x:c>
      <x:c r="F16" s="54" t="n">
        <x:v>1650</x:v>
      </x:c>
      <x:c r="G16" s="56" t="n">
        <x:v>0.072</x:v>
      </x:c>
      <x:c r="H16" s="56" t="n">
        <x:v>0.052</x:v>
      </x:c>
      <x:c r="I16" s="56" t="n">
        <x:v>0.019</x:v>
      </x:c>
      <x:c r="J16" s="28" t="str">
        <x:v>https://www.zumper.com/rent-research/san-antonio-tx</x:v>
      </x:c>
      <x:c r="K16" s="28" t="str">
        <x:v>https://www.capratecity.com/blog/cap-rate-by-city</x:v>
      </x:c>
      <x:c r="L16" s="28" t="str">
        <x:v>https://smartasset.com/taxes/texas-property-tax-calculator</x:v>
      </x:c>
      <x:c r="M16" s="28" t="str">
        <x:v>Medium-High</x:v>
      </x:c>
      <x:c r="N16" s="28" t="str">
        <x:v>Tax load and slower resale require conservative BRRR refinance valuation.</x:v>
      </x:c>
    </x:row>
    <x:row r="17">
      <x:c r="A17" s="28" t="str">
        <x:v>Birmingham, AL</x:v>
      </x:c>
      <x:c r="B17" s="28" t="str">
        <x:v>Flip + LTR</x:v>
      </x:c>
      <x:c r="C17" s="28" t="str">
        <x:v>Citywide Zumper blend</x:v>
      </x:c>
      <x:c r="D17" s="54" t="n">
        <x:v>1000</x:v>
      </x:c>
      <x:c r="E17" s="54" t="n">
        <x:v>1048</x:v>
      </x:c>
      <x:c r="F17" s="54" t="n">
        <x:v>1200</x:v>
      </x:c>
      <x:c r="G17" s="56" t="n">
        <x:v>0.065</x:v>
      </x:c>
      <x:c r="H17" s="56" t="n">
        <x:v>0.068</x:v>
      </x:c>
      <x:c r="I17" s="56" t="n">
        <x:v>0.0043</x:v>
      </x:c>
      <x:c r="J17" s="28" t="str">
        <x:v>https://www.zumper.com/rent-research/birmingham-al</x:v>
      </x:c>
      <x:c r="K17" s="28" t="str">
        <x:v>https://www.capratecity.com/blog/cap-rate-by-city</x:v>
      </x:c>
      <x:c r="L17" s="28" t="str">
        <x:v>https://smartasset.com/taxes/alabama-property-tax-calculator</x:v>
      </x:c>
      <x:c r="M17" s="28" t="str">
        <x:v>Medium</x:v>
      </x:c>
      <x:c r="N17" s="28" t="str">
        <x:v>High yield possible, but neighborhood spread, tenant quality, and repairs dominate.</x:v>
      </x:c>
    </x:row>
    <x:row r="18">
      <x:c r="A18" s="28" t="str">
        <x:v>Cleveland, OH</x:v>
      </x:c>
      <x:c r="B18" s="28" t="str">
        <x:v>Flip + LTR</x:v>
      </x:c>
      <x:c r="C18" s="28" t="str">
        <x:v>Citywide Trulia/Zumper blend</x:v>
      </x:c>
      <x:c r="D18" s="54" t="n">
        <x:v>950</x:v>
      </x:c>
      <x:c r="E18" s="54" t="n">
        <x:v>1090</x:v>
      </x:c>
      <x:c r="F18" s="54" t="n">
        <x:v>1395</x:v>
      </x:c>
      <x:c r="G18" s="56" t="n">
        <x:v>0.068</x:v>
      </x:c>
      <x:c r="H18" s="56" t="n">
        <x:v>0.07</x:v>
      </x:c>
      <x:c r="I18" s="56" t="n">
        <x:v>0.0251</x:v>
      </x:c>
      <x:c r="J18" s="28" t="str">
        <x:v>https://www.trulia.com/for_rent/Cleveland,OH/</x:v>
      </x:c>
      <x:c r="K18" s="28" t="str">
        <x:v>https://www.capratecity.com/blog/cap-rate-by-city</x:v>
      </x:c>
      <x:c r="L18" s="28" t="str">
        <x:v>https://smartasset.com/taxes/ohio-property-tax-calculator</x:v>
      </x:c>
      <x:c r="M18" s="28" t="str">
        <x:v>Medium</x:v>
      </x:c>
      <x:c r="N18" s="28" t="str">
        <x:v>High cap rate but high property taxes and old systems require large reserves.</x:v>
      </x:c>
    </x:row>
    <x:row r="19">
      <x:c r="A19" s="28" t="str">
        <x:v>Pittsburgh, PA</x:v>
      </x:c>
      <x:c r="B19" s="28" t="str">
        <x:v>Flip + LTR</x:v>
      </x:c>
      <x:c r="C19" s="28" t="str">
        <x:v>Citywide Trulia/Zumper blend</x:v>
      </x:c>
      <x:c r="D19" s="54" t="n">
        <x:v>1238</x:v>
      </x:c>
      <x:c r="E19" s="54" t="n">
        <x:v>1500</x:v>
      </x:c>
      <x:c r="F19" s="54" t="n">
        <x:v>1850</x:v>
      </x:c>
      <x:c r="G19" s="56" t="n">
        <x:v>0.055</x:v>
      </x:c>
      <x:c r="H19" s="56" t="n">
        <x:v>0.058</x:v>
      </x:c>
      <x:c r="I19" s="56" t="n">
        <x:v>0.0222</x:v>
      </x:c>
      <x:c r="J19" s="28" t="str">
        <x:v>https://www.trulia.com/for_rent/Pittsburgh,PA/</x:v>
      </x:c>
      <x:c r="K19" s="28" t="str">
        <x:v>https://www.capratecity.com/blog/cap-rate-by-city</x:v>
      </x:c>
      <x:c r="L19" s="28" t="str">
        <x:v>https://smartasset.com/taxes/pennsylvania-property-tax-calculator</x:v>
      </x:c>
      <x:c r="M19" s="28" t="str">
        <x:v>Medium-High</x:v>
      </x:c>
      <x:c r="N19" s="28" t="str">
        <x:v>Older housing stock; taxes and borough/school district differences are material.</x:v>
      </x:c>
    </x:row>
    <x:row r="20">
      <x:c r="A20" s="28" t="str">
        <x:v>Denver, CO</x:v>
      </x:c>
      <x:c r="B20" s="28" t="str">
        <x:v>Flip + LTR + selective STR</x:v>
      </x:c>
      <x:c r="C20" s="28" t="str">
        <x:v>Apartments.com/Zumper blend</x:v>
      </x:c>
      <x:c r="D20" s="54" t="n">
        <x:v>1627</x:v>
      </x:c>
      <x:c r="E20" s="54" t="n">
        <x:v>2141</x:v>
      </x:c>
      <x:c r="F20" s="54" t="n">
        <x:v>2885</x:v>
      </x:c>
      <x:c r="G20" s="56" t="n">
        <x:v>0.058</x:v>
      </x:c>
      <x:c r="H20" s="56" t="n">
        <x:v>0.034</x:v>
      </x:c>
      <x:c r="I20" s="56" t="n">
        <x:v>0.0049</x:v>
      </x:c>
      <x:c r="J20" s="28" t="str">
        <x:v>https://www.apartments.com/rent-market-trends/denver-co/</x:v>
      </x:c>
      <x:c r="K20" s="28" t="str">
        <x:v>https://www.capratecity.com/blog/cap-rate-by-city</x:v>
      </x:c>
      <x:c r="L20" s="28" t="str">
        <x:v>https://smartasset.com/taxes/colorado-property-tax-calculator</x:v>
      </x:c>
      <x:c r="M20" s="28" t="str">
        <x:v>Medium-High</x:v>
      </x:c>
      <x:c r="N20" s="28" t="str">
        <x:v>High ARV and labor costs compress cap rate; underwriting should be DSCR-sensitive.</x:v>
      </x:c>
    </x:row>
    <x:row r="21">
      <x:c r="A21" s="28" t="str">
        <x:v>Austin, TX</x:v>
      </x:c>
      <x:c r="B21" s="28" t="str">
        <x:v>Flip + LTR + STR crossover</x:v>
      </x:c>
      <x:c r="C21" s="28" t="str">
        <x:v>Rentometer/Zumper blend</x:v>
      </x:c>
      <x:c r="D21" s="54" t="n">
        <x:v>1502</x:v>
      </x:c>
      <x:c r="E21" s="54" t="n">
        <x:v>2017</x:v>
      </x:c>
      <x:c r="F21" s="54" t="n">
        <x:v>2582</x:v>
      </x:c>
      <x:c r="G21" s="56" t="n">
        <x:v>0.08</x:v>
      </x:c>
      <x:c r="H21" s="56" t="n">
        <x:v>0.033</x:v>
      </x:c>
      <x:c r="I21" s="56" t="n">
        <x:v>0.0181</x:v>
      </x:c>
      <x:c r="J21" s="28" t="str">
        <x:v>https://www.rentometer.com/average-rent-in/austin-tx</x:v>
      </x:c>
      <x:c r="K21" s="28" t="str">
        <x:v>https://www.capratecity.com/blog/cap-rate-by-city</x:v>
      </x:c>
      <x:c r="L21" s="28" t="str">
        <x:v>https://smartasset.com/taxes/texas-property-tax-calculator</x:v>
      </x:c>
      <x:c r="M21" s="28" t="str">
        <x:v>Medium</x:v>
      </x:c>
      <x:c r="N21" s="28" t="str">
        <x:v>Supply and price softness warrant higher vacancy sensitivity and conservative refi values.</x:v>
      </x:c>
    </x:row>
    <x:row r="22">
      <x:c r="A22" s="28" t="str">
        <x:v>Raleigh, NC</x:v>
      </x:c>
      <x:c r="B22" s="28" t="str">
        <x:v>Flip + LTR + selective STR</x:v>
      </x:c>
      <x:c r="C22" s="28" t="str">
        <x:v>RentCafe/Zumper blend</x:v>
      </x:c>
      <x:c r="D22" s="54" t="n">
        <x:v>1374</x:v>
      </x:c>
      <x:c r="E22" s="54" t="n">
        <x:v>1626</x:v>
      </x:c>
      <x:c r="F22" s="54" t="n">
        <x:v>2001</x:v>
      </x:c>
      <x:c r="G22" s="56" t="n">
        <x:v>0.058</x:v>
      </x:c>
      <x:c r="H22" s="56" t="n">
        <x:v>0.037</x:v>
      </x:c>
      <x:c r="I22" s="56" t="n">
        <x:v>0.0082</x:v>
      </x:c>
      <x:c r="J22" s="28" t="str">
        <x:v>https://www.rentcafe.com/average-rent-market-trends/us/nc/raleigh/</x:v>
      </x:c>
      <x:c r="K22" s="28" t="str">
        <x:v>https://www.capratecity.com/blog/cap-rate-by-city</x:v>
      </x:c>
      <x:c r="L22" s="28" t="str">
        <x:v>https://smartasset.com/taxes/north-carolina-property-tax-calculator</x:v>
      </x:c>
      <x:c r="M22" s="28" t="str">
        <x:v>Medium-High</x:v>
      </x:c>
      <x:c r="N22" s="28" t="str">
        <x:v>Strong demand, but cap rates are compressed by growth-market pricing.</x:v>
      </x:c>
    </x:row>
    <x:row r="23">
      <x:c r="A23" s="28" t="str">
        <x:v>Chattanooga, TN</x:v>
      </x:c>
      <x:c r="B23" s="28" t="str">
        <x:v>Flip + LTR + STR crossover</x:v>
      </x:c>
      <x:c r="C23" s="28" t="str">
        <x:v>Citywide Zumper blend</x:v>
      </x:c>
      <x:c r="D23" s="54" t="n">
        <x:v>1145</x:v>
      </x:c>
      <x:c r="E23" s="54" t="n">
        <x:v>1330</x:v>
      </x:c>
      <x:c r="F23" s="54" t="n">
        <x:v>1900</x:v>
      </x:c>
      <x:c r="G23" s="56" t="n">
        <x:v>0.055</x:v>
      </x:c>
      <x:c r="H23" s="56" t="n">
        <x:v>0.051</x:v>
      </x:c>
      <x:c r="I23" s="56" t="n">
        <x:v>0.0068</x:v>
      </x:c>
      <x:c r="J23" s="28" t="str">
        <x:v>https://www.zumper.com/rent-research/chattanooga-tn</x:v>
      </x:c>
      <x:c r="K23" s="28" t="str">
        <x:v>https://www.capratecity.com/blog/cap-rate-by-city</x:v>
      </x:c>
      <x:c r="L23" s="28" t="str">
        <x:v>https://smartasset.com/taxes/tennessee-property-tax-calculator</x:v>
      </x:c>
      <x:c r="M23" s="28" t="str">
        <x:v>Medium-High</x:v>
      </x:c>
      <x:c r="N23" s="28" t="str">
        <x:v>Outdoor tourism creates STR option value; hills/older stock affect repairs.</x:v>
      </x:c>
    </x:row>
    <x:row r="24">
      <x:c r="A24" s="28" t="str">
        <x:v>Scottsdale, AZ</x:v>
      </x:c>
      <x:c r="B24" s="28" t="str">
        <x:v>Flip + LTR + STR crossover</x:v>
      </x:c>
      <x:c r="C24" s="28" t="str">
        <x:v>Citywide Trulia/Zumper blend</x:v>
      </x:c>
      <x:c r="D24" s="54" t="n">
        <x:v>1725</x:v>
      </x:c>
      <x:c r="E24" s="54" t="n">
        <x:v>2400</x:v>
      </x:c>
      <x:c r="F24" s="54" t="n">
        <x:v>3500</x:v>
      </x:c>
      <x:c r="G24" s="56" t="n">
        <x:v>0.055</x:v>
      </x:c>
      <x:c r="H24" s="56" t="n">
        <x:v>0.028</x:v>
      </x:c>
      <x:c r="I24" s="56" t="n">
        <x:v>0.0058</x:v>
      </x:c>
      <x:c r="J24" s="28" t="str">
        <x:v>https://www.trulia.com/for_rent/Scottsdale,AZ/</x:v>
      </x:c>
      <x:c r="K24" s="28" t="str">
        <x:v>https://www.capratecity.com/blog/cap-rate-by-city</x:v>
      </x:c>
      <x:c r="L24" s="28" t="str">
        <x:v>https://smartasset.com/taxes/arizona-property-tax-calculator</x:v>
      </x:c>
      <x:c r="M24" s="28" t="str">
        <x:v>Medium</x:v>
      </x:c>
      <x:c r="N24" s="28" t="str">
        <x:v>Luxury LTR cap rates are thin; STR may be the more viable rental strategy if permitted.</x:v>
      </x:c>
    </x:row>
    <x:row r="25">
      <x:c r="A25" s="28" t="str">
        <x:v>Orlando, FL</x:v>
      </x:c>
      <x:c r="B25" s="28" t="str">
        <x:v>STR + LTR</x:v>
      </x:c>
      <x:c r="C25" s="28" t="str">
        <x:v>Citywide Zumper blend</x:v>
      </x:c>
      <x:c r="D25" s="54" t="n">
        <x:v>1450</x:v>
      </x:c>
      <x:c r="E25" s="54" t="n">
        <x:v>1750</x:v>
      </x:c>
      <x:c r="F25" s="54" t="n">
        <x:v>2300</x:v>
      </x:c>
      <x:c r="G25" s="56" t="n">
        <x:v>0.067</x:v>
      </x:c>
      <x:c r="H25" s="56" t="n">
        <x:v>0.041</x:v>
      </x:c>
      <x:c r="I25" s="56" t="n">
        <x:v>0.0089</x:v>
      </x:c>
      <x:c r="J25" s="28" t="str">
        <x:v>https://www.zumper.com/rent-research/orlando-fl</x:v>
      </x:c>
      <x:c r="K25" s="28" t="str">
        <x:v>https://www.capratecity.com/blog/cap-rate-by-city</x:v>
      </x:c>
      <x:c r="L25" s="28" t="str">
        <x:v>https://smartasset.com/taxes/florida-property-tax-calculator</x:v>
      </x:c>
      <x:c r="M25" s="28" t="str">
        <x:v>Medium-High</x:v>
      </x:c>
      <x:c r="N25" s="28" t="str">
        <x:v>Year-round rental demand; STR underwriting is community and bedroom-count dependent.</x:v>
      </x:c>
    </x:row>
    <x:row r="26">
      <x:c r="A26" s="28" t="str">
        <x:v>Myrtle Beach / Ocean Lakes, SC</x:v>
      </x:c>
      <x:c r="B26" s="28" t="str">
        <x:v>STR + LTR backup</x:v>
      </x:c>
      <x:c r="C26" s="28" t="str">
        <x:v>Myrtle Beach citywide Zumper blend</x:v>
      </x:c>
      <x:c r="D26" s="54" t="n">
        <x:v>1305</x:v>
      </x:c>
      <x:c r="E26" s="54" t="n">
        <x:v>1514</x:v>
      </x:c>
      <x:c r="F26" s="54" t="n">
        <x:v>1950</x:v>
      </x:c>
      <x:c r="G26" s="56" t="n">
        <x:v>0.058</x:v>
      </x:c>
      <x:c r="H26" s="56" t="n">
        <x:v>0.045</x:v>
      </x:c>
      <x:c r="I26" s="56" t="n">
        <x:v>0.005</x:v>
      </x:c>
      <x:c r="J26" s="28" t="str">
        <x:v>https://www.zumper.com/rent-research/myrtle-beach-sc</x:v>
      </x:c>
      <x:c r="K26" s="28" t="str">
        <x:v>https://www.capratecity.com/blog/cap-rate-by-city</x:v>
      </x:c>
      <x:c r="L26" s="28" t="str">
        <x:v>https://smartasset.com/taxes/south-carolina-property-tax-calculator</x:v>
      </x:c>
      <x:c r="M26" s="28" t="str">
        <x:v>Medium</x:v>
      </x:c>
      <x:c r="N26" s="28" t="str">
        <x:v>LTR backup exists but seasonal STR and community rules dominate Ocean Lakes underwriting.</x:v>
      </x:c>
    </x:row>
    <x:row r="27">
      <x:c r="A27" s="28" t="str">
        <x:v>Gatlinburg, TN</x:v>
      </x:c>
      <x:c r="B27" s="28" t="str">
        <x:v>STR + limited LTR backup</x:v>
      </x:c>
      <x:c r="C27" s="28" t="str">
        <x:v>Zumper/Trulia small-inventory blend</x:v>
      </x:c>
      <x:c r="D27" s="54" t="n">
        <x:v>1375</x:v>
      </x:c>
      <x:c r="E27" s="54" t="n">
        <x:v>1525</x:v>
      </x:c>
      <x:c r="F27" s="54" t="n">
        <x:v>2500</x:v>
      </x:c>
      <x:c r="G27" s="56" t="n">
        <x:v>0.06</x:v>
      </x:c>
      <x:c r="H27" s="56" t="n">
        <x:v>0.037</x:v>
      </x:c>
      <x:c r="I27" s="56" t="n">
        <x:v>0.0043</x:v>
      </x:c>
      <x:c r="J27" s="28" t="str">
        <x:v>https://www.zumper.com/rent-research/gatlinburg-tn</x:v>
      </x:c>
      <x:c r="K27" s="28" t="str">
        <x:v>https://www.capratecity.com/blog/cap-rate-by-city</x:v>
      </x:c>
      <x:c r="L27" s="28" t="str">
        <x:v>https://smartasset.com/taxes/tennessee-property-tax-calculator</x:v>
      </x:c>
      <x:c r="M27" s="28" t="str">
        <x:v>Medium-Low</x:v>
      </x:c>
      <x:c r="N27" s="28" t="str">
        <x:v>Small LTR inventory; use as backup underwriting only.</x:v>
      </x:c>
    </x:row>
    <x:row r="28">
      <x:c r="A28" s="28" t="str">
        <x:v>Pigeon Forge, TN</x:v>
      </x:c>
      <x:c r="B28" s="28" t="str">
        <x:v>STR + limited LTR backup</x:v>
      </x:c>
      <x:c r="C28" s="28" t="str">
        <x:v>Zumper/Trulia small-inventory blend</x:v>
      </x:c>
      <x:c r="D28" s="54" t="n">
        <x:v>1399</x:v>
      </x:c>
      <x:c r="E28" s="54" t="n">
        <x:v>1800</x:v>
      </x:c>
      <x:c r="F28" s="54" t="n">
        <x:v>2300</x:v>
      </x:c>
      <x:c r="G28" s="56" t="n">
        <x:v>0.06</x:v>
      </x:c>
      <x:c r="H28" s="56" t="n">
        <x:v>0.039</x:v>
      </x:c>
      <x:c r="I28" s="56" t="n">
        <x:v>0.0043</x:v>
      </x:c>
      <x:c r="J28" s="28" t="str">
        <x:v>https://www.zumper.com/rent-research/pigeon-forge-tn</x:v>
      </x:c>
      <x:c r="K28" s="28" t="str">
        <x:v>https://www.capratecity.com/blog/cap-rate-by-city</x:v>
      </x:c>
      <x:c r="L28" s="28" t="str">
        <x:v>https://smartasset.com/taxes/tennessee-property-tax-calculator</x:v>
      </x:c>
      <x:c r="M28" s="28" t="str">
        <x:v>Medium-Low</x:v>
      </x:c>
      <x:c r="N28" s="28" t="str">
        <x:v>LTR comps are thin; STR restrictions/permits and cabin quality matter more.</x:v>
      </x:c>
    </x:row>
    <x:row r="29">
      <x:c r="A29" s="28" t="str">
        <x:v>Smoky Mountains, TN</x:v>
      </x:c>
      <x:c r="B29" s="28" t="str">
        <x:v>STR + limited LTR backup</x:v>
      </x:c>
      <x:c r="C29" s="28" t="str">
        <x:v>Sevierville Rentometer proxy</x:v>
      </x:c>
      <x:c r="D29" s="54" t="n">
        <x:v>1474</x:v>
      </x:c>
      <x:c r="E29" s="54" t="n">
        <x:v>1747</x:v>
      </x:c>
      <x:c r="F29" s="54" t="n">
        <x:v>1969</x:v>
      </x:c>
      <x:c r="G29" s="56" t="n">
        <x:v>0.06</x:v>
      </x:c>
      <x:c r="H29" s="56" t="n">
        <x:v>0.04</x:v>
      </x:c>
      <x:c r="I29" s="56" t="n">
        <x:v>0.0043</x:v>
      </x:c>
      <x:c r="J29" s="28" t="str">
        <x:v>https://www.rentometer.com/average-rent-in/tn/sevierville-tn</x:v>
      </x:c>
      <x:c r="K29" s="28" t="str">
        <x:v>https://www.capratecity.com/blog/cap-rate-by-city</x:v>
      </x:c>
      <x:c r="L29" s="28" t="str">
        <x:v>https://smartasset.com/taxes/tennessee-property-tax-calculator</x:v>
      </x:c>
      <x:c r="M29" s="28" t="str">
        <x:v>Medium-Low</x:v>
      </x:c>
      <x:c r="N29" s="28" t="str">
        <x:v>Regional proxy; exact town/county can change LTR and STR feasibility.</x:v>
      </x:c>
    </x:row>
    <x:row r="30">
      <x:c r="A30" s="28" t="str">
        <x:v>Lake Murray, SC</x:v>
      </x:c>
      <x:c r="B30" s="28" t="str">
        <x:v>STR + LTR backup</x:v>
      </x:c>
      <x:c r="C30" s="28" t="str">
        <x:v>Lexington SC Zumper proxy</x:v>
      </x:c>
      <x:c r="D30" s="54" t="n">
        <x:v>1125</x:v>
      </x:c>
      <x:c r="E30" s="54" t="n">
        <x:v>1460</x:v>
      </x:c>
      <x:c r="F30" s="54" t="n">
        <x:v>1950</x:v>
      </x:c>
      <x:c r="G30" s="56" t="n">
        <x:v>0.055</x:v>
      </x:c>
      <x:c r="H30" s="56" t="n">
        <x:v>0.046</x:v>
      </x:c>
      <x:c r="I30" s="56" t="n">
        <x:v>0.0056</x:v>
      </x:c>
      <x:c r="J30" s="28" t="str">
        <x:v>https://www.zumper.com/rent-research/lexington-sc</x:v>
      </x:c>
      <x:c r="K30" s="28" t="str">
        <x:v>https://www.capratecity.com/blog/cap-rate-by-city</x:v>
      </x:c>
      <x:c r="L30" s="28" t="str">
        <x:v>https://smartasset.com/taxes/south-carolina-property-tax-calculator</x:v>
      </x:c>
      <x:c r="M30" s="28" t="str">
        <x:v>Medium</x:v>
      </x:c>
      <x:c r="N30" s="28" t="str">
        <x:v>Use Lexington/Chapin/Irmo comps based on exact lake location and school district.</x:v>
      </x:c>
    </x:row>
    <x:row r="31">
      <x:c r="A31" s="28" t="str">
        <x:v>Destin, FL</x:v>
      </x:c>
      <x:c r="B31" s="28" t="str">
        <x:v>STR + LTR backup</x:v>
      </x:c>
      <x:c r="C31" s="28" t="str">
        <x:v>Destin Rentometer/RentCafe blend</x:v>
      </x:c>
      <x:c r="D31" s="54" t="n">
        <x:v>1635</x:v>
      </x:c>
      <x:c r="E31" s="54" t="n">
        <x:v>2271</x:v>
      </x:c>
      <x:c r="F31" s="54" t="n">
        <x:v>3277</x:v>
      </x:c>
      <x:c r="G31" s="56" t="n">
        <x:v>0.052</x:v>
      </x:c>
      <x:c r="H31" s="56" t="n">
        <x:v>0.035</x:v>
      </x:c>
      <x:c r="I31" s="56" t="n">
        <x:v>0.0067</x:v>
      </x:c>
      <x:c r="J31" s="28" t="str">
        <x:v>https://www.rentometer.com/average-rent-in/destin-fl</x:v>
      </x:c>
      <x:c r="K31" s="28" t="str">
        <x:v>https://www.capratecity.com/blog/cap-rate-by-city</x:v>
      </x:c>
      <x:c r="L31" s="28" t="str">
        <x:v>https://smartasset.com/taxes/florida-property-tax-calculator</x:v>
      </x:c>
      <x:c r="M31" s="28" t="str">
        <x:v>Medium</x:v>
      </x:c>
      <x:c r="N31" s="28" t="str">
        <x:v>Long-term rent is a backup; insurance, HOA, and STR gross drive economics.</x:v>
      </x:c>
    </x:row>
    <x:row r="32">
      <x:c r="A32" s="28" t="str">
        <x:v>Blue Ridge, GA</x:v>
      </x:c>
      <x:c r="B32" s="28" t="str">
        <x:v>STR + limited LTR backup</x:v>
      </x:c>
      <x:c r="C32" s="28" t="str">
        <x:v>Small-inventory Trulia/Zillow blend</x:v>
      </x:c>
      <x:c r="D32" s="54" t="n">
        <x:v>1100</x:v>
      </x:c>
      <x:c r="E32" s="54" t="n">
        <x:v>1600</x:v>
      </x:c>
      <x:c r="F32" s="54" t="n">
        <x:v>2489</x:v>
      </x:c>
      <x:c r="G32" s="56" t="n">
        <x:v>0.065</x:v>
      </x:c>
      <x:c r="H32" s="56" t="n">
        <x:v>0.038</x:v>
      </x:c>
      <x:c r="I32" s="56" t="n">
        <x:v>0.0068</x:v>
      </x:c>
      <x:c r="J32" s="28" t="str">
        <x:v>https://www.trulia.com/for_rent/Blue_Ridge,GA/</x:v>
      </x:c>
      <x:c r="K32" s="28" t="str">
        <x:v>https://www.capratecity.com/blog/cap-rate-by-city</x:v>
      </x:c>
      <x:c r="L32" s="28" t="str">
        <x:v>https://smartasset.com/taxes/georgia-property-tax-calculator</x:v>
      </x:c>
      <x:c r="M32" s="28" t="str">
        <x:v>Medium-Low</x:v>
      </x:c>
      <x:c r="N32" s="28" t="str">
        <x:v>Small LTR inventory; backup rents need local property-manager confirmation.</x:v>
      </x:c>
    </x:row>
    <x:row r="33">
      <x:c r="A33" s="28" t="str">
        <x:v>Outer Banks, NC</x:v>
      </x:c>
      <x:c r="B33" s="28" t="str">
        <x:v>STR + LTR backup</x:v>
      </x:c>
      <x:c r="C33" s="28" t="str">
        <x:v>Nags Head / OBX small-inventory proxy</x:v>
      </x:c>
      <x:c r="D33" s="54" t="n">
        <x:v>1650</x:v>
      </x:c>
      <x:c r="E33" s="54" t="n">
        <x:v>2195</x:v>
      </x:c>
      <x:c r="F33" s="54" t="n">
        <x:v>3000</x:v>
      </x:c>
      <x:c r="G33" s="56" t="n">
        <x:v>0.05</x:v>
      </x:c>
      <x:c r="H33" s="56" t="n">
        <x:v>0.032</x:v>
      </x:c>
      <x:c r="I33" s="56" t="n">
        <x:v>0.0046</x:v>
      </x:c>
      <x:c r="J33" s="28" t="str">
        <x:v>https://www.zumper.com/rent-research/nags-head-nc</x:v>
      </x:c>
      <x:c r="K33" s="28" t="str">
        <x:v>https://www.capratecity.com/blog/cap-rate-by-city</x:v>
      </x:c>
      <x:c r="L33" s="28" t="str">
        <x:v>https://smartasset.com/taxes/north-carolina-property-tax-calculator</x:v>
      </x:c>
      <x:c r="M33" s="28" t="str">
        <x:v>Low-Medium</x:v>
      </x:c>
      <x:c r="N33" s="28" t="str">
        <x:v>Sparse year-round rentals; 3BR is an underwriting proxy and should be verified with local PMs.</x:v>
      </x:c>
    </x:row>
    <x:row r="34">
      <x:c r="A34" s="28" t="str">
        <x:v>Hilton Head, SC</x:v>
      </x:c>
      <x:c r="B34" s="28" t="str">
        <x:v>STR + LTR backup</x:v>
      </x:c>
      <x:c r="C34" s="28" t="str">
        <x:v>Zumper/Rentometer blend</x:v>
      </x:c>
      <x:c r="D34" s="54" t="n">
        <x:v>1900</x:v>
      </x:c>
      <x:c r="E34" s="54" t="n">
        <x:v>2500</x:v>
      </x:c>
      <x:c r="F34" s="54" t="n">
        <x:v>2995</x:v>
      </x:c>
      <x:c r="G34" s="56" t="n">
        <x:v>0.048</x:v>
      </x:c>
      <x:c r="H34" s="56" t="n">
        <x:v>0.029</x:v>
      </x:c>
      <x:c r="I34" s="56" t="n">
        <x:v>0.0053</x:v>
      </x:c>
      <x:c r="J34" s="28" t="str">
        <x:v>https://www.zumper.com/rent-research/hilton-head-island-sc</x:v>
      </x:c>
      <x:c r="K34" s="28" t="str">
        <x:v>https://www.capratecity.com/blog/cap-rate-by-city</x:v>
      </x:c>
      <x:c r="L34" s="28" t="str">
        <x:v>https://smartasset.com/taxes/south-carolina-property-tax-calculator</x:v>
      </x:c>
      <x:c r="M34" s="28" t="str">
        <x:v>Medium</x:v>
      </x:c>
      <x:c r="N34" s="28" t="str">
        <x:v>Resort/retiree market; HOA, insurance, and property class dominate.</x:v>
      </x:c>
    </x:row>
    <x:row r="35">
      <x:c r="A35" s="28" t="str">
        <x:v>Gulf Shores, AL</x:v>
      </x:c>
      <x:c r="B35" s="28" t="str">
        <x:v>STR + LTR backup</x:v>
      </x:c>
      <x:c r="C35" s="28" t="str">
        <x:v>Zumper/Trulia conservative blend</x:v>
      </x:c>
      <x:c r="D35" s="54" t="n">
        <x:v>1286</x:v>
      </x:c>
      <x:c r="E35" s="54" t="n">
        <x:v>1949</x:v>
      </x:c>
      <x:c r="F35" s="54" t="n">
        <x:v>2400</x:v>
      </x:c>
      <x:c r="G35" s="56" t="n">
        <x:v>0.056</x:v>
      </x:c>
      <x:c r="H35" s="56" t="n">
        <x:v>0.041</x:v>
      </x:c>
      <x:c r="I35" s="56" t="n">
        <x:v>0.0037</x:v>
      </x:c>
      <x:c r="J35" s="28" t="str">
        <x:v>https://www.zumper.com/rent-research/gulf-shores-al</x:v>
      </x:c>
      <x:c r="K35" s="28" t="str">
        <x:v>https://www.capratecity.com/blog/cap-rate-by-city</x:v>
      </x:c>
      <x:c r="L35" s="28" t="str">
        <x:v>https://smartasset.com/taxes/alabama-property-tax-calculator</x:v>
      </x:c>
      <x:c r="M35" s="28" t="str">
        <x:v>Medium</x:v>
      </x:c>
      <x:c r="N35" s="28" t="str">
        <x:v>Rentometer often captures furnished/vacation skew; use conservative LTR backups unless confirmed.</x:v>
      </x:c>
    </x:row>
    <x:row r="36">
      <x:c r="A36" s="28" t="str">
        <x:v>Branson, MO</x:v>
      </x:c>
      <x:c r="B36" s="28" t="str">
        <x:v>STR + LTR backup</x:v>
      </x:c>
      <x:c r="C36" s="28" t="str">
        <x:v>Citywide Zumper blend</x:v>
      </x:c>
      <x:c r="D36" s="54" t="n">
        <x:v>895</x:v>
      </x:c>
      <x:c r="E36" s="54" t="n">
        <x:v>1200</x:v>
      </x:c>
      <x:c r="F36" s="54" t="n">
        <x:v>1695</x:v>
      </x:c>
      <x:c r="G36" s="56" t="n">
        <x:v>0.065</x:v>
      </x:c>
      <x:c r="H36" s="56" t="n">
        <x:v>0.054</x:v>
      </x:c>
      <x:c r="I36" s="56" t="n">
        <x:v>0.0063</x:v>
      </x:c>
      <x:c r="J36" s="28" t="str">
        <x:v>https://www.zumper.com/rent-research/branson-mo</x:v>
      </x:c>
      <x:c r="K36" s="28" t="str">
        <x:v>https://www.capratecity.com/blog/cap-rate-by-city</x:v>
      </x:c>
      <x:c r="L36" s="28" t="str">
        <x:v>https://smartasset.com/taxes/missouri-property-tax-calculator</x:v>
      </x:c>
      <x:c r="M36" s="28" t="str">
        <x:v>Medium</x:v>
      </x:c>
      <x:c r="N36" s="28" t="str">
        <x:v>Good affordability, but local employment and seasonality affect LTR depth.</x:v>
      </x:c>
    </x:row>
    <x:row r="37">
      <x:c r="A37" s="28" t="str">
        <x:v>Lake Tahoe, NV</x:v>
      </x:c>
      <x:c r="B37" s="28" t="str">
        <x:v>STR + limited LTR backup</x:v>
      </x:c>
      <x:c r="C37" s="28" t="str">
        <x:v>Incline Village / Tahoe NV proxy</x:v>
      </x:c>
      <x:c r="D37" s="54" t="n">
        <x:v>2200</x:v>
      </x:c>
      <x:c r="E37" s="54" t="n">
        <x:v>2900</x:v>
      </x:c>
      <x:c r="F37" s="54" t="n">
        <x:v>3963</x:v>
      </x:c>
      <x:c r="G37" s="56" t="n">
        <x:v>0.045</x:v>
      </x:c>
      <x:c r="H37" s="56" t="n">
        <x:v>0.025</x:v>
      </x:c>
      <x:c r="I37" s="56" t="n">
        <x:v>0.0066</x:v>
      </x:c>
      <x:c r="J37" s="28" t="str">
        <x:v>https://www.zumper.com/rent-research/incline-village-nv</x:v>
      </x:c>
      <x:c r="K37" s="28" t="str">
        <x:v>https://www.capratecity.com/blog/cap-rate-by-city</x:v>
      </x:c>
      <x:c r="L37" s="28" t="str">
        <x:v>https://smartasset.com/taxes/nevada-property-tax-calculator</x:v>
      </x:c>
      <x:c r="M37" s="28" t="str">
        <x:v>Medium-Low</x:v>
      </x:c>
      <x:c r="N37" s="28" t="str">
        <x:v>Sparse and expensive long-term inventory; regulatory/permit risk can overwhelm cap-rate math.</x:v>
      </x:c>
    </x:row>
    <x:row r="38">
      <x:c r="A38" s="28" t="str">
        <x:v>Park City, UT</x:v>
      </x:c>
      <x:c r="B38" s="28" t="str">
        <x:v>STR + limited LTR backup</x:v>
      </x:c>
      <x:c r="C38" s="28" t="str">
        <x:v>Citywide Zumper blend</x:v>
      </x:c>
      <x:c r="D38" s="54" t="n">
        <x:v>1895</x:v>
      </x:c>
      <x:c r="E38" s="54" t="n">
        <x:v>2800</x:v>
      </x:c>
      <x:c r="F38" s="54" t="n">
        <x:v>4000</x:v>
      </x:c>
      <x:c r="G38" s="56" t="n">
        <x:v>0.048</x:v>
      </x:c>
      <x:c r="H38" s="56" t="n">
        <x:v>0.023</x:v>
      </x:c>
      <x:c r="I38" s="56" t="n">
        <x:v>0.0055</x:v>
      </x:c>
      <x:c r="J38" s="28" t="str">
        <x:v>https://www.zumper.com/rent-research/park-city-ut</x:v>
      </x:c>
      <x:c r="K38" s="28" t="str">
        <x:v>https://www.capratecity.com/blog/cap-rate-by-city</x:v>
      </x:c>
      <x:c r="L38" s="28" t="str">
        <x:v>https://smartasset.com/taxes/utah-property-tax-calculator</x:v>
      </x:c>
      <x:c r="M38" s="28" t="str">
        <x:v>Medium</x:v>
      </x:c>
      <x:c r="N38" s="28" t="str">
        <x:v>Luxury/ski market; LTR cap rate is thin and rules/HOA determine STR feasibility.</x:v>
      </x:c>
    </x:row>
    <x:row r="39">
      <x:c r="A39" s="28" t="str">
        <x:v>Panama City Beach, FL</x:v>
      </x:c>
      <x:c r="B39" s="28" t="str">
        <x:v>STR + LTR backup</x:v>
      </x:c>
      <x:c r="C39" s="28" t="str">
        <x:v>Rentometer/Zumper blend</x:v>
      </x:c>
      <x:c r="D39" s="54" t="n">
        <x:v>1376</x:v>
      </x:c>
      <x:c r="E39" s="54" t="n">
        <x:v>1923</x:v>
      </x:c>
      <x:c r="F39" s="54" t="n">
        <x:v>2512</x:v>
      </x:c>
      <x:c r="G39" s="56" t="n">
        <x:v>0.058</x:v>
      </x:c>
      <x:c r="H39" s="56" t="n">
        <x:v>0.04</x:v>
      </x:c>
      <x:c r="I39" s="56" t="n">
        <x:v>0.0068</x:v>
      </x:c>
      <x:c r="J39" s="28" t="str">
        <x:v>https://www.rentometer.com/average-rent-in/panama-city-beach-fl</x:v>
      </x:c>
      <x:c r="K39" s="28" t="str">
        <x:v>https://www.capratecity.com/blog/cap-rate-by-city</x:v>
      </x:c>
      <x:c r="L39" s="28" t="str">
        <x:v>https://smartasset.com/taxes/florida-property-tax-calculator</x:v>
      </x:c>
      <x:c r="M39" s="28" t="str">
        <x:v>Medium</x:v>
      </x:c>
      <x:c r="N39" s="28" t="str">
        <x:v>Added STR market; LTR backup should be checked against furnished/seasonal skew.</x:v>
      </x:c>
    </x:row>
    <x:row r="40">
      <x:c r="A40" s="28" t="str">
        <x:v>Asheville, NC</x:v>
      </x:c>
      <x:c r="B40" s="28" t="str">
        <x:v>STR + LTR backup with regulatory risk</x:v>
      </x:c>
      <x:c r="C40" s="28" t="str">
        <x:v>Citywide Zumper blend</x:v>
      </x:c>
      <x:c r="D40" s="54" t="n">
        <x:v>1420</x:v>
      </x:c>
      <x:c r="E40" s="54" t="n">
        <x:v>1695</x:v>
      </x:c>
      <x:c r="F40" s="54" t="n">
        <x:v>2148</x:v>
      </x:c>
      <x:c r="G40" s="56" t="n">
        <x:v>0.055</x:v>
      </x:c>
      <x:c r="H40" s="56" t="n">
        <x:v>0.034</x:v>
      </x:c>
      <x:c r="I40" s="56" t="n">
        <x:v>0.0066</x:v>
      </x:c>
      <x:c r="J40" s="28" t="str">
        <x:v>https://www.zumper.com/rent-research/asheville-nc</x:v>
      </x:c>
      <x:c r="K40" s="28" t="str">
        <x:v>https://www.capratecity.com/charlotte-nc/investment-guide</x:v>
      </x:c>
      <x:c r="L40" s="28" t="str">
        <x:v>https://smartasset.com/taxes/north-carolina-property-tax-calculator</x:v>
      </x:c>
      <x:c r="M40" s="28" t="str">
        <x:v>Medium</x:v>
      </x:c>
      <x:c r="N40" s="28" t="str">
        <x:v>Added STR market. Asheville city STR restrictions may push more deals to LTR, owner-occupied homestay, or non-city jurisdictions.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b4ff9120b7aa47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62" hidden="0" customWidth="1"/>
    <x:col min="5" max="5" width="62" hidden="0" customWidth="1"/>
    <x:col min="6" max="6" width="14" hidden="0" customWidth="1"/>
  </x:cols>
  <x:sheetData>
    <x:row r="1" ht="26" customHeight="1">
      <x:c r="A1" s="5" t="str">
        <x:v>BRRR / DSCR Assumptions - Phase 2 Data Inputs</x:v>
      </x:c>
      <x:c r="B1" s="5"/>
      <x:c r="C1" s="5"/>
      <x:c r="D1" s="5"/>
      <x:c r="E1" s="5"/>
      <x:c r="F1" s="5"/>
    </x:row>
    <x:row r="2">
      <x:c r="A2" s="39" t="str">
        <x:v>These assumptions are included now so markets.js can carry Phase 2 data before app tabs are built.</x:v>
      </x:c>
      <x:c r="B2" s="39"/>
      <x:c r="C2" s="39"/>
      <x:c r="D2" s="39"/>
      <x:c r="E2" s="39"/>
      <x:c r="F2" s="39"/>
    </x:row>
    <x:row r="3">
      <x:c r="A3"/>
    </x:row>
    <x:row r="4" ht="40" customHeight="1">
      <x:c r="A4" s="84" t="str">
        <x:v>Assumption</x:v>
      </x:c>
      <x:c r="B4" s="84" t="str">
        <x:v>Recommended Underwriting Range</x:v>
      </x:c>
      <x:c r="C4" s="84" t="str">
        <x:v>Default Input</x:v>
      </x:c>
      <x:c r="D4" s="84" t="str">
        <x:v>Why It Matters</x:v>
      </x:c>
      <x:c r="E4" s="84" t="str">
        <x:v>Primary Source URL</x:v>
      </x:c>
      <x:c r="F4" s="84" t="str">
        <x:v>Confidence</x:v>
      </x:c>
    </x:row>
    <x:row r="5">
      <x:c r="A5" s="28" t="str">
        <x:v>Current DSCR loan rate</x:v>
      </x:c>
      <x:c r="B5" s="28" t="str">
        <x:v>6.5%-7.5% for many qualified DSCR scenarios; stress test 8.0%-8.5% for weaker DSCR, higher leverage, or volatile STR income.</x:v>
      </x:c>
      <x:c r="C5" s="28" t="str">
        <x:v>7.0%</x:v>
      </x:c>
      <x:c r="D5" s="28" t="str">
        <x:v>DSCR rates set refinance proceeds, debt service, and whether a BRRR recycle works after rehab.</x:v>
      </x:c>
      <x:c r="E5" s="28" t="str">
        <x:v>https://staystra.com/best-dscr-lenders-short-term-rental-investors-2026/</x:v>
      </x:c>
      <x:c r="F5" s="28" t="str">
        <x:v>Medium-High</x:v>
      </x:c>
    </x:row>
    <x:row r="6">
      <x:c r="A6" s="28" t="str">
        <x:v>Standard post-refi LTV</x:v>
      </x:c>
      <x:c r="B6" s="28" t="str">
        <x:v>75% standard underwriting default; stronger files or lower-risk assets may reach 75%-80%.</x:v>
      </x:c>
      <x:c r="C6" s="28" t="str">
        <x:v>75%</x:v>
      </x:c>
      <x:c r="D6" s="28" t="str">
        <x:v>Determines cash-out refinance proceeds; use 75% as the norm for conservative BRRR underwriting.</x:v>
      </x:c>
      <x:c r="E6" s="28" t="str">
        <x:v>https://proinvestorhub.com/lenders/dscr-loans</x:v>
      </x:c>
      <x:c r="F6" s="28" t="str">
        <x:v>Medium-High</x:v>
      </x:c>
    </x:row>
    <x:row r="7">
      <x:c r="A7" s="28" t="str">
        <x:v>Typical seasoning period</x:v>
      </x:c>
      <x:c r="B7" s="28" t="str">
        <x:v>6-12 months before refinance/cash-out is commonly modeled; confirm lender-specific title, appraisal, and cash-out seasoning.</x:v>
      </x:c>
      <x:c r="C7" s="28" t="str">
        <x:v>6-12 months</x:v>
      </x:c>
      <x:c r="D7" s="28" t="str">
        <x:v>Controls carry time, capital lockup, and refinance timing in the BRRR timeline.</x:v>
      </x:c>
      <x:c r="E7" s="28" t="str">
        <x:v>https://www.clearhouselending.com/blog/dscr-loan-rates-guide</x:v>
      </x:c>
      <x:c r="F7" s="28" t="str">
        <x:v>Medium</x:v>
      </x:c>
    </x:row>
    <x:row r="8">
      <x:c r="A8" s="28" t="str">
        <x:v>Minimum DSCR target</x:v>
      </x:c>
      <x:c r="B8" s="28" t="str">
        <x:v>1.10x-1.25x minimum; 1.25x+ usually receives better pricing/leverage.</x:v>
      </x:c>
      <x:c r="C8" s="28" t="str">
        <x:v>1.20x</x:v>
      </x:c>
      <x:c r="D8" s="28" t="str">
        <x:v>Protects against over-levered rentals and determines rate tier eligibility.</x:v>
      </x:c>
      <x:c r="E8" s="28" t="str">
        <x:v>https://mortgage-info.com/blog/investment-property-loan-rates-2026</x:v>
      </x:c>
      <x:c r="F8" s="28" t="str">
        <x:v>Medium</x:v>
      </x:c>
    </x:row>
    <x:row r="9">
      <x:c r="A9" s="28" t="str">
        <x:v>Vacancy reserve for LTR</x:v>
      </x:c>
      <x:c r="B9" s="28" t="str">
        <x:v>Use market vacancy estimate from LTR sheet; minimum 5% even in tight markets.</x:v>
      </x:c>
      <x:c r="C9" s="28" t="str">
        <x:v>5%-8%</x:v>
      </x:c>
      <x:c r="D9" s="28" t="str">
        <x:v>Vacancy sensitivity is essential for BRRR DSCR tests.</x:v>
      </x:c>
      <x:c r="E9" s="28" t="str">
        <x:v>https://www.capratecity.com/blog/cap-rate-by-city</x:v>
      </x:c>
      <x:c r="F9" s="28" t="str">
        <x:v>Medium</x:v>
      </x:c>
    </x:row>
    <x:row r="10">
      <x:c r="A10" s="28" t="str">
        <x:v>Repair contingency</x:v>
      </x:c>
      <x:c r="B10" s="28" t="str">
        <x:v>10%-20% of rehab budget; use 20%+ for older stock, flood/wind markets, cabins, and luxury STRs.</x:v>
      </x:c>
      <x:c r="C10" s="28" t="str">
        <x:v>15%</x:v>
      </x:c>
      <x:c r="D10" s="28" t="str">
        <x:v>Unexpected repairs are the most common reason BRRR cash-out misses target.</x:v>
      </x:c>
      <x:c r="E10" s="28" t="str">
        <x:v>https://homeguide.com/costs/house-remodeling-cost</x:v>
      </x:c>
      <x:c r="F10" s="28" t="str">
        <x:v>Medium-High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94a1f30c6a24a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24" hidden="0" customWidth="1"/>
    <x:col min="4" max="4" width="80" hidden="0" customWidth="1"/>
  </x:cols>
  <x:sheetData>
    <x:row r="1" ht="26" customHeight="1">
      <x:c r="A1" s="5" t="str">
        <x:v>Modeling Assumptions and Data Caveats</x:v>
      </x:c>
      <x:c r="B1" s="5"/>
      <x:c r="C1" s="5"/>
      <x:c r="D1" s="5"/>
    </x:row>
    <x:row r="2">
      <x:c r="A2" s="39" t="str">
        <x:v>This sheet explains how market data should be interpreted. Do not hide these caveats in the app; transparency is part of the product value.</x:v>
      </x:c>
      <x:c r="B2" s="39"/>
      <x:c r="C2" s="39"/>
      <x:c r="D2" s="39"/>
    </x:row>
    <x:row r="3">
      <x:c r="A3"/>
    </x:row>
    <x:row r="4" ht="40" customHeight="1">
      <x:c r="A4" s="94" t="str">
        <x:v>Category</x:v>
      </x:c>
      <x:c r="B4" s="94" t="str">
        <x:v>Assumption / Rule</x:v>
      </x:c>
      <x:c r="C4" s="94" t="str">
        <x:v>Default / Range</x:v>
      </x:c>
      <x:c r="D4" s="94" t="str">
        <x:v>Source / Notes</x:v>
      </x:c>
    </x:row>
    <x:row r="5">
      <x:c r="A5" s="28" t="str">
        <x:v>Flip ARV rule</x:v>
      </x:c>
      <x:c r="B5" s="28" t="str">
        <x:v>Generic MAO baseline is ARV x 70% minus repairs, then adjusted by market speed, YoY trend, repair certainty, insurance/tax drag, and exit liquidity.</x:v>
      </x:c>
      <x:c r="C5" s="28" t="str">
        <x:v>62%-74% of ARV before repair deduction</x:v>
      </x:c>
      <x:c r="D5" s="28" t="str">
        <x:v>Baseline: https://www.realestateskills.com/blog/what-is-70-rule-in-house-flipping</x:v>
      </x:c>
    </x:row>
    <x:row r="6">
      <x:c r="A6" s="28" t="str">
        <x:v>Flip hold costs</x:v>
      </x:c>
      <x:c r="B6" s="28" t="str">
        <x:v>Monthly holding-cost percentage includes financing interest, points amortization proxy, taxes, insurance, utilities, maintenance, and selling timeline risk.</x:v>
      </x:c>
      <x:c r="C6" s="28" t="str">
        <x:v>0.55%-1.00% of ARV per month</x:v>
      </x:c>
      <x:c r="D6" s="28" t="str">
        <x:v>Hard-money/DSCR/current rate references: StaySTRA, ClearHouse, ProInvestorHub, Mortgage-info.</x:v>
      </x:c>
    </x:row>
    <x:row r="7">
      <x:c r="A7" s="28" t="str">
        <x:v>Repair costs</x:v>
      </x:c>
      <x:c r="B7" s="28" t="str">
        <x:v>Repair ranges are investor rehab bands, adjusted for older stock, coastal risk, luxury finishes, cabin amenities, and market labor costs.</x:v>
      </x:c>
      <x:c r="C7" s="28" t="str">
        <x:v>$30-$170 per sq ft depending on strategy and asset type</x:v>
      </x:c>
      <x:c r="D7" s="28" t="str">
        <x:v>Cross-check: https://homeguide.com/costs/house-remodeling-cost</x:v>
      </x:c>
    </x:row>
    <x:row r="8">
      <x:c r="A8" s="28" t="str">
        <x:v>STR revenue</x:v>
      </x:c>
      <x:c r="B8" s="28" t="str">
        <x:v>Annual gross revenue ranges reconcile AirDNA, AirROI, Rabbu, GetChalet, Airbtics, StaySTRA, ShortTermShop, and market-specific data pages where available.</x:v>
      </x:c>
      <x:c r="C8" s="28" t="str">
        <x:v>Market-specific; see STR sheet</x:v>
      </x:c>
      <x:c r="D8" s="28" t="str">
        <x:v>Use property-level comps before purchase; city-level averages are not a substitute for exact bedroom/location/amenity comp sets.</x:v>
      </x:c>
    </x:row>
    <x:row r="9">
      <x:c r="A9" s="28" t="str">
        <x:v>STR occupancy/ADR</x:v>
      </x:c>
      <x:c r="B9" s="28" t="str">
        <x:v>Occupancy and ADR are public market-average bands, not guarantees.</x:v>
      </x:c>
      <x:c r="C9" s="28" t="str">
        <x:v>Market-specific; see STR sheet</x:v>
      </x:c>
      <x:c r="D9" s="28" t="str">
        <x:v>Provider definitions vary by active listings, blocked owner nights, bedroom counts, and geography.</x:v>
      </x:c>
    </x:row>
    <x:row r="10">
      <x:c r="A10" s="28" t="str">
        <x:v>LTR rents</x:v>
      </x:c>
      <x:c r="B10" s="28" t="str">
        <x:v>Rents are average/median public market rents by bedroom count where available; sparse resort markets use proxy towns or conservative estimates.</x:v>
      </x:c>
      <x:c r="C10" s="28" t="str">
        <x:v>1BR/2BR/3BR by market</x:v>
      </x:c>
      <x:c r="D10" s="28" t="str">
        <x:v>Sources include RentCafe, Zumper, Trulia, Apartments.com, Rentometer, and Zillow Rental Manager.</x:v>
      </x:c>
    </x:row>
    <x:row r="11">
      <x:c r="A11" s="28" t="str">
        <x:v>LTR vacancy/cap/tax</x:v>
      </x:c>
      <x:c r="B11" s="28" t="str">
        <x:v>Vacancy, cap rate, and tax rates are underwriting estimates to be verified by zip, county, property type, age, class, and management model.</x:v>
      </x:c>
      <x:c r="C11" s="28" t="str">
        <x:v>See LTR sheet</x:v>
      </x:c>
      <x:c r="D11" s="28" t="str">
        <x:v>Cap/tax benchmark sources include CapRateCity, CapRateIndex, SmartAsset, county/state tax pages, and investor market references.</x:v>
      </x:c>
    </x:row>
    <x:row r="12">
      <x:c r="A12" s="28" t="str">
        <x:v>BRRR DSCR rate</x:v>
      </x:c>
      <x:c r="B12" s="28" t="str">
        <x:v>Use current DSCR rate range as a stress test input.</x:v>
      </x:c>
      <x:c r="C12" s="28" t="str">
        <x:v>6.5%-7.5% base; stress 8.0%-8.5%</x:v>
      </x:c>
      <x:c r="D12" s="28" t="str">
        <x:v>See BRRR Assumptions sheet.</x:v>
      </x:c>
    </x:row>
    <x:row r="13">
      <x:c r="A13" s="28" t="str">
        <x:v>BRRR post-refi LTV</x:v>
      </x:c>
      <x:c r="B13" s="28" t="str">
        <x:v>Use conservative standard refinance leverage.</x:v>
      </x:c>
      <x:c r="C13" s="28" t="str">
        <x:v>75%</x:v>
      </x:c>
      <x:c r="D13" s="28" t="str">
        <x:v>See BRRR Assumptions sheet.</x:v>
      </x:c>
    </x:row>
    <x:row r="14">
      <x:c r="A14" s="28" t="str">
        <x:v>BRRR seasoning</x:v>
      </x:c>
      <x:c r="B14" s="28" t="str">
        <x:v>Model time before refinance/cash-out.</x:v>
      </x:c>
      <x:c r="C14" s="28" t="str">
        <x:v>6-12 months</x:v>
      </x:c>
      <x:c r="D14" s="28" t="str">
        <x:v>Confirm lender-specific cash-out and title seasoning.</x:v>
      </x:c>
    </x:row>
    <x:row r="15">
      <x:c r="A15" s="28" t="str">
        <x:v>Confidence</x:v>
      </x:c>
      <x:c r="B15" s="28" t="str">
        <x:v>High = multiple current, aligned sources; Medium = public sources but geography/property mix differs; Low/Medium = sparse data or regulatory/geographic proxy.</x:v>
      </x:c>
      <x:c r="C15" s="28" t="str">
        <x:v>High / Medium-High / Medium / Medium-Low</x:v>
      </x:c>
      <x:c r="D15" s="28" t="str">
        <x:v>Surface this in app UI rather than hiding it.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d88d3bb137b430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70" hidden="0" customWidth="1"/>
    <x:col min="4" max="4" width="70" hidden="0" customWidth="1"/>
  </x:cols>
  <x:sheetData>
    <x:row r="1" ht="26" customHeight="1">
      <x:c r="A1" s="5" t="str">
        <x:v>Source Index</x:v>
      </x:c>
      <x:c r="B1" s="5"/>
      <x:c r="C1" s="5"/>
      <x:c r="D1" s="5"/>
    </x:row>
    <x:row r="2">
      <x:c r="A2" s="39" t="str">
        <x:v>Representative source families used in this workbook. Market-specific URLs are also stored in the Flip, STR, and LTR sheets.</x:v>
      </x:c>
      <x:c r="B2" s="39"/>
      <x:c r="C2" s="39"/>
      <x:c r="D2" s="39"/>
    </x:row>
    <x:row r="3">
      <x:c r="A3"/>
    </x:row>
    <x:row r="4" ht="40" customHeight="1">
      <x:c r="A4" s="104" t="str">
        <x:v>Source Family</x:v>
      </x:c>
      <x:c r="B4" s="104" t="str">
        <x:v>Use In Workbook</x:v>
      </x:c>
      <x:c r="C4" s="104" t="str">
        <x:v>Representative URL</x:v>
      </x:c>
      <x:c r="D4" s="104" t="str">
        <x:v>Notes</x:v>
      </x:c>
    </x:row>
    <x:row r="5">
      <x:c r="A5" s="28" t="str">
        <x:v>Redfin city housing-market pages</x:v>
      </x:c>
      <x:c r="B5" s="28" t="str">
        <x:v>Flip median sale price, YoY movement, DOM, resale speed signal</x:v>
      </x:c>
      <x:c r="C5" s="28" t="str">
        <x:v>https://www.redfin.com/city/5155/CO/Denver/housing-market</x:v>
      </x:c>
      <x:c r="D5" s="28" t="str">
        <x:v>Each flip row includes its market-specific Redfin URL.</x:v>
      </x:c>
    </x:row>
    <x:row r="6">
      <x:c r="A6" s="28" t="str">
        <x:v>AirROI</x:v>
      </x:c>
      <x:c r="B6" s="28" t="str">
        <x:v>STR annual revenue, occupancy, ADR, active listing count</x:v>
      </x:c>
      <x:c r="C6" s="28" t="str">
        <x:v>https://www.airroi.com/airbnb-data/united-states/florida/orlando</x:v>
      </x:c>
      <x:c r="D6" s="28" t="str">
        <x:v>Primary public STR benchmark used for many added markets.</x:v>
      </x:c>
    </x:row>
    <x:row r="7">
      <x:c r="A7" s="28" t="str">
        <x:v>Rabbu</x:v>
      </x:c>
      <x:c r="B7" s="28" t="str">
        <x:v>STR revenue/ADR/listing cross-checks</x:v>
      </x:c>
      <x:c r="C7" s="28" t="str">
        <x:v>https://rabbu.com/airbnb-data/orlando-fl</x:v>
      </x:c>
      <x:c r="D7" s="28" t="str">
        <x:v>Used to triangulate STR revenue bands where available.</x:v>
      </x:c>
    </x:row>
    <x:row r="8">
      <x:c r="A8" s="28" t="str">
        <x:v>GetChalet</x:v>
      </x:c>
      <x:c r="B8" s="28" t="str">
        <x:v>STR annual revenue, occupancy, ADR cross-checks</x:v>
      </x:c>
      <x:c r="C8" s="28" t="str">
        <x:v>https://getchalet.com/markets/panama-city-beach-fl</x:v>
      </x:c>
      <x:c r="D8" s="28" t="str">
        <x:v>Useful for added markets and resort-market validation.</x:v>
      </x:c>
    </x:row>
    <x:row r="9">
      <x:c r="A9" s="28" t="str">
        <x:v>Airbtics</x:v>
      </x:c>
      <x:c r="B9" s="28" t="str">
        <x:v>STR median revenue/occupancy cross-checks</x:v>
      </x:c>
      <x:c r="C9" s="28" t="str">
        <x:v>https://airbtics.com/annual-airbnb-revenue-in-orlando-florida-usa/</x:v>
      </x:c>
      <x:c r="D9" s="28" t="str">
        <x:v>Used only as a corroborating source when public figures are available.</x:v>
      </x:c>
    </x:row>
    <x:row r="10">
      <x:c r="A10" s="28" t="str">
        <x:v>ShortTermShop</x:v>
      </x:c>
      <x:c r="B10" s="28" t="str">
        <x:v>Bedroom-count STR revenue ranges</x:v>
      </x:c>
      <x:c r="C10" s="28" t="str">
        <x:v>https://www.theshorttermshop.com/blog/short-term-rental-data-analysis-in-destin-and-30a-fl</x:v>
      </x:c>
      <x:c r="D10" s="28" t="str">
        <x:v>Useful in high-bedroom beach/cabin markets.</x:v>
      </x:c>
    </x:row>
    <x:row r="11">
      <x:c r="A11" s="28" t="str">
        <x:v>Asheville official STVR page</x:v>
      </x:c>
      <x:c r="B11" s="28" t="str">
        <x:v>Regulatory risk flag for Asheville STR feasibility</x:v>
      </x:c>
      <x:c r="C11" s="28" t="str">
        <x:v>https://www.ashevillenc.gov/department/development-services/compliance-division/homestays-and-short-term-rental-violations/</x:v>
      </x:c>
      <x:c r="D11" s="28" t="str">
        <x:v>Official city source; worksheet notes whole-home STVR zoning limitation.</x:v>
      </x:c>
    </x:row>
    <x:row r="12">
      <x:c r="A12" s="28" t="str">
        <x:v>Zumper / RentCafe / Trulia / Apartments.com / Rentometer</x:v>
      </x:c>
      <x:c r="B12" s="28" t="str">
        <x:v>LTR monthly rent by bedroom count</x:v>
      </x:c>
      <x:c r="C12" s="28" t="str">
        <x:v>https://www.zumper.com/rent-research/asheville-nc</x:v>
      </x:c>
      <x:c r="D12" s="28" t="str">
        <x:v>LTR sheet stores a row-level rent source URL.</x:v>
      </x:c>
    </x:row>
    <x:row r="13">
      <x:c r="A13" s="28" t="str">
        <x:v>CapRateCity / CapRateIndex / Culta benchmarks</x:v>
      </x:c>
      <x:c r="B13" s="28" t="str">
        <x:v>LTR vacancy/cap-rate estimate anchors</x:v>
      </x:c>
      <x:c r="C13" s="28" t="str">
        <x:v>https://www.capratecity.com/blog/cap-rate-by-city</x:v>
      </x:c>
      <x:c r="D13" s="28" t="str">
        <x:v>Market caps are underwriting estimates; verify with asset-class comps.</x:v>
      </x:c>
    </x:row>
    <x:row r="14">
      <x:c r="A14" s="28" t="str">
        <x:v>SmartAsset and local tax pages</x:v>
      </x:c>
      <x:c r="B14" s="28" t="str">
        <x:v>Property tax rate estimate anchors</x:v>
      </x:c>
      <x:c r="C14" s="28" t="str">
        <x:v>https://smartasset.com/taxes/property-taxes</x:v>
      </x:c>
      <x:c r="D14" s="28" t="str">
        <x:v>Rates are effective-rate estimates; verify county, municipality, and reassessment rules.</x:v>
      </x:c>
    </x:row>
    <x:row r="15">
      <x:c r="A15" s="28" t="str">
        <x:v>StaySTRA DSCR lender guide</x:v>
      </x:c>
      <x:c r="B15" s="28" t="str">
        <x:v>DSCR rate benchmark and STR loan assumptions</x:v>
      </x:c>
      <x:c r="C15" s="28" t="str">
        <x:v>https://staystra.com/best-dscr-lenders-short-term-rental-investors-2026/</x:v>
      </x:c>
      <x:c r="D15" s="28" t="str">
        <x:v>Used for 6.5%-7.5% DSCR base range.</x:v>
      </x:c>
    </x:row>
    <x:row r="16">
      <x:c r="A16" s="28" t="str">
        <x:v>ProInvestorHub DSCR lenders</x:v>
      </x:c>
      <x:c r="B16" s="28" t="str">
        <x:v>Post-refi LTV and DSCR rate/leverage cross-check</x:v>
      </x:c>
      <x:c r="C16" s="28" t="str">
        <x:v>https://proinvestorhub.com/lenders/dscr-loans</x:v>
      </x:c>
      <x:c r="D16" s="28" t="str">
        <x:v>Used for 75%-80% max LTV context; workbook defaults to 75%.</x:v>
      </x:c>
    </x:row>
    <x:row r="17">
      <x:c r="A17" s="28" t="str">
        <x:v>Mortgage-info investment property loan rates</x:v>
      </x:c>
      <x:c r="B17" s="28" t="str">
        <x:v>DSCR stress-testing tiers</x:v>
      </x:c>
      <x:c r="C17" s="28" t="str">
        <x:v>https://mortgage-info.com/blog/investment-property-loan-rates-2026</x:v>
      </x:c>
      <x:c r="D17" s="28" t="str">
        <x:v>Used for DSCR 1.25+ and weaker-DSCR rate tiers.</x:v>
      </x:c>
    </x:row>
    <x:row r="18">
      <x:c r="A18" s="28" t="str">
        <x:v>ClearHouse DSCR rate guide</x:v>
      </x:c>
      <x:c r="B18" s="28" t="str">
        <x:v>Seasoning/rate/leverage cross-check</x:v>
      </x:c>
      <x:c r="C18" s="28" t="str">
        <x:v>https://www.clearhouselending.com/blog/dscr-loan-rates-guide</x:v>
      </x:c>
      <x:c r="D18" s="28" t="str">
        <x:v>Used as corroborating DSCR source.</x:v>
      </x:c>
    </x:row>
    <x:row r="19">
      <x:c r="A19" s="28" t="str">
        <x:v>RealEstateSkills 70% rule</x:v>
      </x:c>
      <x:c r="B19" s="28" t="str">
        <x:v>Flip MAO baseline</x:v>
      </x:c>
      <x:c r="C19" s="28" t="str">
        <x:v>https://www.realestateskills.com/blog/what-is-70-rule-in-house-flipping</x:v>
      </x:c>
      <x:c r="D19" s="28" t="str">
        <x:v>Baseline formula adjusted by market.</x:v>
      </x:c>
    </x:row>
    <x:row r="20">
      <x:c r="A20" s="28" t="str">
        <x:v>HomeGuide remodel costs</x:v>
      </x:c>
      <x:c r="B20" s="28" t="str">
        <x:v>Repair cost range cross-check</x:v>
      </x:c>
      <x:c r="C20" s="28" t="str">
        <x:v>https://homeguide.com/costs/house-remodeling-cost</x:v>
      </x:c>
      <x:c r="D20" s="28" t="str">
        <x:v>Used to sanity-check rehab bands.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bedc53483c648d4"/>
  </x:tableParts>
</x:worksheet>
</file>